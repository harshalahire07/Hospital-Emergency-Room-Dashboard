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hda00\Desktop\Projects\Excel\"/>
    </mc:Choice>
  </mc:AlternateContent>
  <xr:revisionPtr revIDLastSave="0" documentId="13_ncr:1_{FA7CCBF3-38A1-41F7-AA20-8A23AF27BF7B}" xr6:coauthVersionLast="47" xr6:coauthVersionMax="47" xr10:uidLastSave="{00000000-0000-0000-0000-000000000000}"/>
  <bookViews>
    <workbookView xWindow="-108" yWindow="-108" windowWidth="23256" windowHeight="12456" activeTab="1" xr2:uid="{5813A296-DDC0-4374-96CC-01FD627B6A21}"/>
  </bookViews>
  <sheets>
    <sheet name="Pivot Report" sheetId="1" r:id="rId1"/>
    <sheet name="Dashboard" sheetId="2" r:id="rId2"/>
    <sheet name="Daily Patients of ER"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37c7c36-15b4-477f-9cd6-7bd92d1cc9c7" name="Hospital Emergency Room Data" connection="Query - Hospital Emergency Room Data"/>
          <x15:modelTable id="Calendar_Table_672eeac1-4200-4d1b-b12c-8b8a9e48945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6" i="1" l="1"/>
  <c r="B46" i="1"/>
  <c r="C46" i="1"/>
  <c r="B47" i="1"/>
  <c r="C47"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EB1852-AEB1-4C5A-A3A9-D81101C0E0C2}" name="Query - Calendar_Table" description="Connection to the 'Calendar_Table' query in the workbook." type="100" refreshedVersion="8" minRefreshableVersion="5">
    <extLst>
      <ext xmlns:x15="http://schemas.microsoft.com/office/spreadsheetml/2010/11/main" uri="{DE250136-89BD-433C-8126-D09CA5730AF9}">
        <x15:connection id="fa1bef3c-46c1-4152-b832-b577b75a364a">
          <x15:oledbPr connection="Provider=Microsoft.Mashup.OleDb.1;Data Source=$Workbook$;Location=Calendar_Table;Extended Properties=&quot;&quot;">
            <x15:dbTables>
              <x15:dbTable name="Calendar_Table"/>
            </x15:dbTables>
          </x15:oledbPr>
        </x15:connection>
      </ext>
    </extLst>
  </connection>
  <connection id="2" xr16:uid="{DBB1F6AD-2450-45F2-8610-8E2BAA3D74D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a69d2c03-03c7-481a-93d7-e47398e4735e"/>
      </ext>
    </extLst>
  </connection>
  <connection id="3" xr16:uid="{4D4E4100-CE6F-451D-BD90-F039056E16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<sst xmlns="http://schemas.openxmlformats.org/spreadsheetml/2006/main" count="155" uniqueCount="74">
  <si>
    <t>Distinct Count of Patient Id</t>
  </si>
  <si>
    <t>Average of Patient Waittime</t>
  </si>
  <si>
    <t>Average of Patient Satisfaction Score</t>
  </si>
  <si>
    <t>Row Labels</t>
  </si>
  <si>
    <t>Grand Total</t>
  </si>
  <si>
    <t>Daily Trends of number of Patients</t>
  </si>
  <si>
    <t>Average wait time</t>
  </si>
  <si>
    <t>Satisfaction Score Daily Trend</t>
  </si>
  <si>
    <t>Delay</t>
  </si>
  <si>
    <t>Ontime</t>
  </si>
  <si>
    <t>Admitted</t>
  </si>
  <si>
    <t>Not Admitted</t>
  </si>
  <si>
    <t>Count of Patient Admission Flag</t>
  </si>
  <si>
    <t>Count of Patient Admission Flag2</t>
  </si>
  <si>
    <t xml:space="preserve">Admission Status </t>
  </si>
  <si>
    <t>% Status</t>
  </si>
  <si>
    <t xml:space="preserve">Patient </t>
  </si>
  <si>
    <t>0-9</t>
  </si>
  <si>
    <t>10-19</t>
  </si>
  <si>
    <t>20-29</t>
  </si>
  <si>
    <t>30-39</t>
  </si>
  <si>
    <t>40-49</t>
  </si>
  <si>
    <t>50-59</t>
  </si>
  <si>
    <t>60-69</t>
  </si>
  <si>
    <t>70-79</t>
  </si>
  <si>
    <t>Count of Age Group</t>
  </si>
  <si>
    <t>Age Group wise analysis</t>
  </si>
  <si>
    <t>Count of Patient attend Status</t>
  </si>
  <si>
    <t>Attend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</si>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</sst>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6" formatCode="0.0"/>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3" tint="0.499984740745262"/>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0" fontId="0" fillId="4" borderId="0" xfId="0" applyFill="1"/>
    <xf numFmtId="164" fontId="0" fillId="4" borderId="0" xfId="1" applyNumberFormat="1" applyFont="1" applyFill="1"/>
    <xf numFmtId="0" fontId="2" fillId="3" borderId="0" xfId="0" applyFont="1" applyFill="1" applyAlignment="1">
      <alignment horizontal="center"/>
    </xf>
    <xf numFmtId="166" fontId="0" fillId="0" borderId="0" xfId="0" applyNumberFormat="1"/>
  </cellXfs>
  <cellStyles count="2">
    <cellStyle name="Normal" xfId="0" builtinId="0"/>
    <cellStyle name="Percent" xfId="1" builtinId="5"/>
  </cellStyles>
  <dxfs count="17">
    <dxf>
      <numFmt numFmtId="2" formatCode="0.00"/>
    </dxf>
    <dxf>
      <numFmt numFmtId="166" formatCode="0.0"/>
    </dxf>
    <dxf>
      <numFmt numFmtId="2" formatCode="0.00"/>
    </dxf>
    <dxf>
      <numFmt numFmtId="1" formatCode="0"/>
    </dxf>
    <dxf>
      <numFmt numFmtId="2" formatCode="0.00"/>
    </dxf>
    <dxf>
      <numFmt numFmtId="165" formatCode="0.0000"/>
    </dxf>
    <dxf>
      <numFmt numFmtId="2" formatCode="0.00"/>
    </dxf>
    <dxf>
      <numFmt numFmtId="165" formatCode="0.0000"/>
    </dxf>
    <dxf>
      <numFmt numFmtId="2" formatCode="0.00"/>
    </dxf>
    <dxf>
      <numFmt numFmtId="1" formatCode="0"/>
    </dxf>
    <dxf>
      <numFmt numFmtId="1" formatCode="0"/>
    </dxf>
    <dxf>
      <numFmt numFmtId="1" formatCode="0"/>
    </dxf>
    <dxf>
      <numFmt numFmtId="1" formatCode="0"/>
    </dxf>
    <dxf>
      <numFmt numFmtId="14" formatCode="0.00%"/>
    </dxf>
    <dxf>
      <numFmt numFmtId="1" formatCode="0"/>
    </dxf>
    <dxf>
      <font>
        <b/>
        <color theme="1"/>
      </font>
      <border>
        <bottom style="thin">
          <color theme="4"/>
        </bottom>
        <vertical/>
        <horizontal/>
      </border>
    </dxf>
    <dxf>
      <font>
        <sz val="7"/>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Style" pivot="0" table="0" count="10" xr9:uid="{1EA74F31-E99E-4DED-9226-2318F2781456}">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Report!PivotTable8</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BEC6-4A4F-9421-3384FA085873}"/>
              </c:ext>
            </c:extLst>
          </c:dPt>
          <c:dPt>
            <c:idx val="1"/>
            <c:invertIfNegative val="0"/>
            <c:bubble3D val="0"/>
            <c:extLst>
              <c:ext xmlns:c16="http://schemas.microsoft.com/office/drawing/2014/chart" uri="{C3380CC4-5D6E-409C-BE32-E72D297353CC}">
                <c16:uniqueId val="{00000004-BEC6-4A4F-9421-3384FA085873}"/>
              </c:ext>
            </c:extLst>
          </c:dPt>
          <c:cat>
            <c:strRef>
              <c:f>'Pivot Report'!$A$40:$A$42</c:f>
              <c:strCache>
                <c:ptCount val="2"/>
                <c:pt idx="0">
                  <c:v>Admitted</c:v>
                </c:pt>
                <c:pt idx="1">
                  <c:v>Not Admitted</c:v>
                </c:pt>
              </c:strCache>
            </c:strRef>
          </c:cat>
          <c:val>
            <c:numRef>
              <c:f>'Pivot Report'!$B$40:$B$42</c:f>
              <c:numCache>
                <c:formatCode>0</c:formatCode>
                <c:ptCount val="2"/>
                <c:pt idx="0">
                  <c:v>266</c:v>
                </c:pt>
                <c:pt idx="1">
                  <c:v>222</c:v>
                </c:pt>
              </c:numCache>
            </c:numRef>
          </c:val>
          <c:extLst>
            <c:ext xmlns:c16="http://schemas.microsoft.com/office/drawing/2014/chart" uri="{C3380CC4-5D6E-409C-BE32-E72D297353CC}">
              <c16:uniqueId val="{00000000-BEC6-4A4F-9421-3384FA085873}"/>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3-7E15-4E45-8FB3-9C6B4E4FC505}"/>
              </c:ext>
            </c:extLst>
          </c:dPt>
          <c:dPt>
            <c:idx val="1"/>
            <c:invertIfNegative val="0"/>
            <c:bubble3D val="0"/>
            <c:extLst>
              <c:ext xmlns:c16="http://schemas.microsoft.com/office/drawing/2014/chart" uri="{C3380CC4-5D6E-409C-BE32-E72D297353CC}">
                <c16:uniqueId val="{00000002-7E15-4E45-8FB3-9C6B4E4FC505}"/>
              </c:ext>
            </c:extLst>
          </c:dPt>
          <c:cat>
            <c:strRef>
              <c:f>'Pivot Report'!$A$40:$A$42</c:f>
              <c:strCache>
                <c:ptCount val="2"/>
                <c:pt idx="0">
                  <c:v>Admitted</c:v>
                </c:pt>
                <c:pt idx="1">
                  <c:v>Not Admitted</c:v>
                </c:pt>
              </c:strCache>
            </c:strRef>
          </c:cat>
          <c:val>
            <c:numRef>
              <c:f>'Pivot Report'!$C$40:$C$42</c:f>
              <c:numCache>
                <c:formatCode>0.00%</c:formatCode>
                <c:ptCount val="2"/>
                <c:pt idx="0">
                  <c:v>0.54508196721311475</c:v>
                </c:pt>
                <c:pt idx="1">
                  <c:v>0.45491803278688525</c:v>
                </c:pt>
              </c:numCache>
            </c:numRef>
          </c:val>
          <c:extLst>
            <c:ext xmlns:c16="http://schemas.microsoft.com/office/drawing/2014/chart" uri="{C3380CC4-5D6E-409C-BE32-E72D297353CC}">
              <c16:uniqueId val="{00000001-BEC6-4A4F-9421-3384FA085873}"/>
            </c:ext>
          </c:extLst>
        </c:ser>
        <c:dLbls>
          <c:dLblPos val="outEnd"/>
          <c:showLegendKey val="0"/>
          <c:showVal val="0"/>
          <c:showCatName val="0"/>
          <c:showSerName val="0"/>
          <c:showPercent val="0"/>
          <c:showBubbleSize val="0"/>
        </c:dLbls>
        <c:gapWidth val="47"/>
        <c:axId val="871879151"/>
        <c:axId val="871880591"/>
      </c:barChart>
      <c:catAx>
        <c:axId val="871879151"/>
        <c:scaling>
          <c:orientation val="minMax"/>
        </c:scaling>
        <c:delete val="1"/>
        <c:axPos val="l"/>
        <c:numFmt formatCode="General" sourceLinked="1"/>
        <c:majorTickMark val="none"/>
        <c:minorTickMark val="none"/>
        <c:tickLblPos val="nextTo"/>
        <c:crossAx val="871880591"/>
        <c:crosses val="autoZero"/>
        <c:auto val="1"/>
        <c:lblAlgn val="ctr"/>
        <c:lblOffset val="100"/>
        <c:noMultiLvlLbl val="0"/>
      </c:catAx>
      <c:valAx>
        <c:axId val="871880591"/>
        <c:scaling>
          <c:orientation val="minMax"/>
        </c:scaling>
        <c:delete val="1"/>
        <c:axPos val="b"/>
        <c:numFmt formatCode="0" sourceLinked="1"/>
        <c:majorTickMark val="none"/>
        <c:minorTickMark val="none"/>
        <c:tickLblPos val="nextTo"/>
        <c:crossAx val="87187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Report!PivotTable5</c:name>
    <c:fmtId val="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43149291145078E-2"/>
          <c:y val="0.2302782152230971"/>
          <c:w val="0.92331157841459721"/>
          <c:h val="0.57174410373113738"/>
        </c:manualLayout>
      </c:layout>
      <c:areaChart>
        <c:grouping val="standard"/>
        <c:varyColors val="0"/>
        <c:ser>
          <c:idx val="0"/>
          <c:order val="0"/>
          <c:tx>
            <c:strRef>
              <c:f>'Pivot Report'!$D$4</c:f>
              <c:strCache>
                <c:ptCount val="1"/>
                <c:pt idx="0">
                  <c:v>Total</c:v>
                </c:pt>
              </c:strCache>
            </c:strRef>
          </c:tx>
          <c:spPr>
            <a:solidFill>
              <a:schemeClr val="accent1"/>
            </a:solidFill>
            <a:ln>
              <a:noFill/>
            </a:ln>
            <a:effectLst/>
          </c:spPr>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14F3-4987-BE5F-2FEAA558833E}"/>
            </c:ext>
          </c:extLst>
        </c:ser>
        <c:dLbls>
          <c:showLegendKey val="0"/>
          <c:showVal val="0"/>
          <c:showCatName val="0"/>
          <c:showSerName val="0"/>
          <c:showPercent val="0"/>
          <c:showBubbleSize val="0"/>
        </c:dLbls>
        <c:axId val="860680735"/>
        <c:axId val="860681695"/>
      </c:areaChart>
      <c:catAx>
        <c:axId val="860680735"/>
        <c:scaling>
          <c:orientation val="minMax"/>
        </c:scaling>
        <c:delete val="1"/>
        <c:axPos val="b"/>
        <c:numFmt formatCode="General" sourceLinked="1"/>
        <c:majorTickMark val="out"/>
        <c:minorTickMark val="none"/>
        <c:tickLblPos val="nextTo"/>
        <c:crossAx val="860681695"/>
        <c:crosses val="autoZero"/>
        <c:auto val="1"/>
        <c:lblAlgn val="ctr"/>
        <c:lblOffset val="100"/>
        <c:noMultiLvlLbl val="0"/>
      </c:catAx>
      <c:valAx>
        <c:axId val="860681695"/>
        <c:scaling>
          <c:orientation val="minMax"/>
        </c:scaling>
        <c:delete val="1"/>
        <c:axPos val="l"/>
        <c:numFmt formatCode="General" sourceLinked="1"/>
        <c:majorTickMark val="none"/>
        <c:minorTickMark val="none"/>
        <c:tickLblPos val="nextTo"/>
        <c:crossAx val="860680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2021463974112156E-2"/>
          <c:w val="0.99382857931466129"/>
          <c:h val="0.9349731700323598"/>
        </c:manualLayout>
      </c:layout>
      <c:areaChart>
        <c:grouping val="standard"/>
        <c:varyColors val="0"/>
        <c:ser>
          <c:idx val="0"/>
          <c:order val="0"/>
          <c:tx>
            <c:strRef>
              <c:f>'Pivot Report'!$G$4</c:f>
              <c:strCache>
                <c:ptCount val="1"/>
                <c:pt idx="0">
                  <c:v>Total</c:v>
                </c:pt>
              </c:strCache>
            </c:strRef>
          </c:tx>
          <c:spPr>
            <a:solidFill>
              <a:schemeClr val="accent1"/>
            </a:solidFill>
            <a:ln>
              <a:noFill/>
            </a:ln>
            <a:effectLst/>
          </c:spPr>
          <c:cat>
            <c:strRef>
              <c:f>'Pivot Report'!$F$5:$F$36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Report'!$G$5:$G$36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4CDA-4E17-96C0-932BAE85DD3D}"/>
            </c:ext>
          </c:extLst>
        </c:ser>
        <c:dLbls>
          <c:showLegendKey val="0"/>
          <c:showVal val="0"/>
          <c:showCatName val="0"/>
          <c:showSerName val="0"/>
          <c:showPercent val="0"/>
          <c:showBubbleSize val="0"/>
        </c:dLbls>
        <c:axId val="939965999"/>
        <c:axId val="939964559"/>
      </c:areaChart>
      <c:catAx>
        <c:axId val="939965999"/>
        <c:scaling>
          <c:orientation val="minMax"/>
        </c:scaling>
        <c:delete val="1"/>
        <c:axPos val="b"/>
        <c:numFmt formatCode="General" sourceLinked="1"/>
        <c:majorTickMark val="out"/>
        <c:minorTickMark val="none"/>
        <c:tickLblPos val="nextTo"/>
        <c:crossAx val="939964559"/>
        <c:crosses val="autoZero"/>
        <c:auto val="1"/>
        <c:lblAlgn val="ctr"/>
        <c:lblOffset val="100"/>
        <c:noMultiLvlLbl val="0"/>
      </c:catAx>
      <c:valAx>
        <c:axId val="939964559"/>
        <c:scaling>
          <c:orientation val="minMax"/>
        </c:scaling>
        <c:delete val="1"/>
        <c:axPos val="l"/>
        <c:numFmt formatCode="0.00" sourceLinked="1"/>
        <c:majorTickMark val="none"/>
        <c:minorTickMark val="none"/>
        <c:tickLblPos val="nextTo"/>
        <c:crossAx val="939965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49315094072854E-3"/>
          <c:y val="1.6888074878393968E-2"/>
          <c:w val="0.99084967273170055"/>
          <c:h val="0.96622576216421063"/>
        </c:manualLayout>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Report'!$J$5:$J$36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EEBA-4EF6-8662-C17CB67004B9}"/>
            </c:ext>
          </c:extLst>
        </c:ser>
        <c:dLbls>
          <c:showLegendKey val="0"/>
          <c:showVal val="0"/>
          <c:showCatName val="0"/>
          <c:showSerName val="0"/>
          <c:showPercent val="0"/>
          <c:showBubbleSize val="0"/>
        </c:dLbls>
        <c:axId val="860223199"/>
        <c:axId val="860222719"/>
      </c:areaChart>
      <c:catAx>
        <c:axId val="860223199"/>
        <c:scaling>
          <c:orientation val="minMax"/>
        </c:scaling>
        <c:delete val="1"/>
        <c:axPos val="b"/>
        <c:numFmt formatCode="General" sourceLinked="1"/>
        <c:majorTickMark val="out"/>
        <c:minorTickMark val="none"/>
        <c:tickLblPos val="nextTo"/>
        <c:crossAx val="860222719"/>
        <c:crosses val="autoZero"/>
        <c:auto val="1"/>
        <c:lblAlgn val="ctr"/>
        <c:lblOffset val="100"/>
        <c:noMultiLvlLbl val="0"/>
      </c:catAx>
      <c:valAx>
        <c:axId val="860222719"/>
        <c:scaling>
          <c:orientation val="minMax"/>
        </c:scaling>
        <c:delete val="1"/>
        <c:axPos val="l"/>
        <c:numFmt formatCode="0.00" sourceLinked="1"/>
        <c:majorTickMark val="none"/>
        <c:minorTickMark val="none"/>
        <c:tickLblPos val="nextTo"/>
        <c:crossAx val="860223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50183165569683E-2"/>
          <c:y val="4.7949787888261139E-2"/>
          <c:w val="0.92929963366886059"/>
          <c:h val="0.67280725997544366"/>
        </c:manualLayout>
      </c:layout>
      <c:barChart>
        <c:barDir val="col"/>
        <c:grouping val="clustered"/>
        <c:varyColors val="0"/>
        <c:ser>
          <c:idx val="0"/>
          <c:order val="0"/>
          <c:tx>
            <c:strRef>
              <c:f>'Pivot Report'!$B$49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53</c:v>
                </c:pt>
                <c:pt idx="1">
                  <c:v>79</c:v>
                </c:pt>
                <c:pt idx="2">
                  <c:v>48</c:v>
                </c:pt>
                <c:pt idx="3">
                  <c:v>47</c:v>
                </c:pt>
                <c:pt idx="4">
                  <c:v>65</c:v>
                </c:pt>
                <c:pt idx="5">
                  <c:v>72</c:v>
                </c:pt>
                <c:pt idx="6">
                  <c:v>60</c:v>
                </c:pt>
                <c:pt idx="7">
                  <c:v>64</c:v>
                </c:pt>
              </c:numCache>
            </c:numRef>
          </c:val>
          <c:extLst>
            <c:ext xmlns:c16="http://schemas.microsoft.com/office/drawing/2014/chart" uri="{C3380CC4-5D6E-409C-BE32-E72D297353CC}">
              <c16:uniqueId val="{00000000-FF3C-4C96-8AB5-44F384C0622A}"/>
            </c:ext>
          </c:extLst>
        </c:ser>
        <c:dLbls>
          <c:showLegendKey val="0"/>
          <c:showVal val="1"/>
          <c:showCatName val="0"/>
          <c:showSerName val="0"/>
          <c:showPercent val="0"/>
          <c:showBubbleSize val="0"/>
        </c:dLbls>
        <c:gapWidth val="219"/>
        <c:overlap val="-27"/>
        <c:axId val="969318527"/>
        <c:axId val="969762175"/>
      </c:barChart>
      <c:catAx>
        <c:axId val="96931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969762175"/>
        <c:crosses val="autoZero"/>
        <c:auto val="1"/>
        <c:lblAlgn val="ctr"/>
        <c:lblOffset val="100"/>
        <c:noMultiLvlLbl val="0"/>
      </c:catAx>
      <c:valAx>
        <c:axId val="969762175"/>
        <c:scaling>
          <c:orientation val="minMax"/>
        </c:scaling>
        <c:delete val="1"/>
        <c:axPos val="l"/>
        <c:numFmt formatCode="0" sourceLinked="1"/>
        <c:majorTickMark val="none"/>
        <c:minorTickMark val="none"/>
        <c:tickLblPos val="nextTo"/>
        <c:crossAx val="96931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Report!PivotTable10</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24248988079507044"/>
              <c:y val="-6.322422791273528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C005321-F6A9-46FE-96E7-70E93EE8B9BD}" type="PERCENTAGE">
                  <a:rPr lang="en-US" baseline="0"/>
                  <a:pPr>
                    <a:defRPr sz="9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6107722587734552"/>
              <c:y val="6.839246549465426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3221A33-C09F-4572-8E83-7A761BD74849}" type="PERCENTAGE">
                  <a:rPr lang="en-US" baseline="0"/>
                  <a:pPr>
                    <a:defRPr sz="9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7099701730886621"/>
          <c:y val="0.16169673261171871"/>
          <c:w val="0.64884380939706832"/>
          <c:h val="0.80590546984202671"/>
        </c:manualLayout>
      </c:layout>
      <c:pieChart>
        <c:varyColors val="1"/>
        <c:ser>
          <c:idx val="0"/>
          <c:order val="0"/>
          <c:tx>
            <c:strRef>
              <c:f>'Pivot Report'!$E$49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77-48C8-AE93-F5F61F1C44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777-48C8-AE93-F5F61F1C44F4}"/>
              </c:ext>
            </c:extLst>
          </c:dPt>
          <c:dLbls>
            <c:dLbl>
              <c:idx val="0"/>
              <c:layout>
                <c:manualLayout>
                  <c:x val="-0.24248988079507044"/>
                  <c:y val="-6.322422791273528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C005321-F6A9-46FE-96E7-70E93EE8B9BD}" type="PERCENTAGE">
                      <a:rPr lang="en-US" baseline="0"/>
                      <a:pPr>
                        <a:defRPr sz="9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C777-48C8-AE93-F5F61F1C44F4}"/>
                </c:ext>
              </c:extLst>
            </c:dLbl>
            <c:dLbl>
              <c:idx val="1"/>
              <c:layout>
                <c:manualLayout>
                  <c:x val="0.16107722587734552"/>
                  <c:y val="6.839246549465426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3221A33-C09F-4572-8E83-7A761BD74849}" type="PERCENTAGE">
                      <a:rPr lang="en-US" baseline="0"/>
                      <a:pPr>
                        <a:defRPr sz="900"/>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C777-48C8-AE93-F5F61F1C44F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Report'!$D$50:$D$52</c:f>
              <c:strCache>
                <c:ptCount val="2"/>
                <c:pt idx="0">
                  <c:v>Delay</c:v>
                </c:pt>
                <c:pt idx="1">
                  <c:v>Ontime</c:v>
                </c:pt>
              </c:strCache>
            </c:strRef>
          </c:cat>
          <c:val>
            <c:numRef>
              <c:f>'Pivot Report'!$E$50:$E$52</c:f>
              <c:numCache>
                <c:formatCode>0</c:formatCode>
                <c:ptCount val="2"/>
                <c:pt idx="0">
                  <c:v>288</c:v>
                </c:pt>
                <c:pt idx="1">
                  <c:v>200</c:v>
                </c:pt>
              </c:numCache>
            </c:numRef>
          </c:val>
          <c:extLst>
            <c:ext xmlns:c16="http://schemas.microsoft.com/office/drawing/2014/chart" uri="{C3380CC4-5D6E-409C-BE32-E72D297353CC}">
              <c16:uniqueId val="{00000004-C777-48C8-AE93-F5F61F1C44F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4626032239793902"/>
          <c:y val="6.5713104961840152E-3"/>
          <c:w val="0.52981318164491853"/>
          <c:h val="0.1806400147564879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Report!PivotTable11</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lt1"/>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lt1"/>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0">
            <a:solidFill>
              <a:schemeClr val="lt1"/>
            </a:solid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lt1"/>
                  </a:solidFill>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823923859749523"/>
          <c:y val="0.19378720799548763"/>
          <c:w val="0.5695813276249877"/>
          <c:h val="0.79550515189251203"/>
        </c:manualLayout>
      </c:layout>
      <c:doughnutChart>
        <c:varyColors val="1"/>
        <c:ser>
          <c:idx val="0"/>
          <c:order val="0"/>
          <c:tx>
            <c:strRef>
              <c:f>'Pivot Report'!$E$58</c:f>
              <c:strCache>
                <c:ptCount val="1"/>
                <c:pt idx="0">
                  <c:v>Total</c:v>
                </c:pt>
              </c:strCache>
            </c:strRef>
          </c:tx>
          <c:spPr>
            <a:ln w="0"/>
          </c:spPr>
          <c:dPt>
            <c:idx val="0"/>
            <c:bubble3D val="0"/>
            <c:spPr>
              <a:solidFill>
                <a:schemeClr val="accent1"/>
              </a:solidFill>
              <a:ln w="0">
                <a:solidFill>
                  <a:schemeClr val="lt1"/>
                </a:solidFill>
              </a:ln>
              <a:effectLst/>
            </c:spPr>
            <c:extLst>
              <c:ext xmlns:c16="http://schemas.microsoft.com/office/drawing/2014/chart" uri="{C3380CC4-5D6E-409C-BE32-E72D297353CC}">
                <c16:uniqueId val="{00000001-493F-4453-B145-EEAC8F5129DC}"/>
              </c:ext>
            </c:extLst>
          </c:dPt>
          <c:dPt>
            <c:idx val="1"/>
            <c:bubble3D val="0"/>
            <c:spPr>
              <a:solidFill>
                <a:schemeClr val="accent2"/>
              </a:solidFill>
              <a:ln w="0">
                <a:solidFill>
                  <a:schemeClr val="lt1"/>
                </a:solidFill>
              </a:ln>
              <a:effectLst/>
            </c:spPr>
            <c:extLst>
              <c:ext xmlns:c16="http://schemas.microsoft.com/office/drawing/2014/chart" uri="{C3380CC4-5D6E-409C-BE32-E72D297353CC}">
                <c16:uniqueId val="{00000003-493F-4453-B145-EEAC8F5129DC}"/>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93F-4453-B145-EEAC8F5129DC}"/>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3F-4453-B145-EEAC8F5129DC}"/>
                </c:ext>
              </c:extLst>
            </c:dLbl>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lt1"/>
                    </a:solidFill>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Report'!$D$59:$D$61</c:f>
              <c:strCache>
                <c:ptCount val="2"/>
                <c:pt idx="0">
                  <c:v>Female</c:v>
                </c:pt>
                <c:pt idx="1">
                  <c:v>Male</c:v>
                </c:pt>
              </c:strCache>
            </c:strRef>
          </c:cat>
          <c:val>
            <c:numRef>
              <c:f>'Pivot Report'!$E$59:$E$61</c:f>
              <c:numCache>
                <c:formatCode>0</c:formatCode>
                <c:ptCount val="2"/>
                <c:pt idx="0">
                  <c:v>232</c:v>
                </c:pt>
                <c:pt idx="1">
                  <c:v>256</c:v>
                </c:pt>
              </c:numCache>
            </c:numRef>
          </c:val>
          <c:extLst>
            <c:ext xmlns:c16="http://schemas.microsoft.com/office/drawing/2014/chart" uri="{C3380CC4-5D6E-409C-BE32-E72D297353CC}">
              <c16:uniqueId val="{00000004-493F-4453-B145-EEAC8F5129DC}"/>
            </c:ext>
          </c:extLst>
        </c:ser>
        <c:dLbls>
          <c:showLegendKey val="0"/>
          <c:showVal val="1"/>
          <c:showCatName val="0"/>
          <c:showSerName val="0"/>
          <c:showPercent val="0"/>
          <c:showBubbleSize val="0"/>
          <c:showLeaderLines val="1"/>
        </c:dLbls>
        <c:firstSliceAng val="0"/>
        <c:holeSize val="39"/>
      </c:doughnutChart>
      <c:spPr>
        <a:noFill/>
        <a:ln>
          <a:noFill/>
        </a:ln>
        <a:effectLst/>
      </c:spPr>
    </c:plotArea>
    <c:legend>
      <c:legendPos val="r"/>
      <c:layout>
        <c:manualLayout>
          <c:xMode val="edge"/>
          <c:yMode val="edge"/>
          <c:x val="0.20271387883770936"/>
          <c:y val="6.6556836069402353E-2"/>
          <c:w val="0.43954812461203596"/>
          <c:h val="0.1099547973170020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Report!PivotTable12</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Report'!$A$65:$A$73</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Report'!$B$65:$B$73</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6C3C-4AA8-9BF9-41ED04342DD4}"/>
            </c:ext>
          </c:extLst>
        </c:ser>
        <c:dLbls>
          <c:dLblPos val="outEnd"/>
          <c:showLegendKey val="0"/>
          <c:showVal val="1"/>
          <c:showCatName val="0"/>
          <c:showSerName val="0"/>
          <c:showPercent val="0"/>
          <c:showBubbleSize val="0"/>
        </c:dLbls>
        <c:gapWidth val="89"/>
        <c:axId val="1068516975"/>
        <c:axId val="1068517455"/>
      </c:barChart>
      <c:catAx>
        <c:axId val="106851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517455"/>
        <c:crosses val="autoZero"/>
        <c:auto val="1"/>
        <c:lblAlgn val="ctr"/>
        <c:lblOffset val="100"/>
        <c:noMultiLvlLbl val="0"/>
      </c:catAx>
      <c:valAx>
        <c:axId val="1068517455"/>
        <c:scaling>
          <c:orientation val="minMax"/>
        </c:scaling>
        <c:delete val="1"/>
        <c:axPos val="b"/>
        <c:numFmt formatCode="0" sourceLinked="1"/>
        <c:majorTickMark val="none"/>
        <c:minorTickMark val="none"/>
        <c:tickLblPos val="nextTo"/>
        <c:crossAx val="106851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A282-43F6-A6A3-8A5C95C05ED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60680735"/>
        <c:axId val="860681695"/>
      </c:areaChart>
      <c:catAx>
        <c:axId val="8606807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0681695"/>
        <c:crosses val="autoZero"/>
        <c:auto val="1"/>
        <c:lblAlgn val="ctr"/>
        <c:lblOffset val="100"/>
        <c:noMultiLvlLbl val="0"/>
      </c:catAx>
      <c:valAx>
        <c:axId val="860681695"/>
        <c:scaling>
          <c:orientation val="minMax"/>
        </c:scaling>
        <c:delete val="1"/>
        <c:axPos val="l"/>
        <c:numFmt formatCode="General" sourceLinked="1"/>
        <c:majorTickMark val="out"/>
        <c:minorTickMark val="none"/>
        <c:tickLblPos val="nextTo"/>
        <c:crossAx val="860680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Report!PivotTable2</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803073043399198E-2"/>
          <c:y val="0.14061356235795969"/>
          <c:w val="0.88042525905774982"/>
          <c:h val="0.65371957943126935"/>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Report'!$G$5:$G$36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58D9-4EEE-84E5-5490BCCD37B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39965999"/>
        <c:axId val="939964559"/>
      </c:areaChart>
      <c:catAx>
        <c:axId val="9399659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9964559"/>
        <c:crosses val="autoZero"/>
        <c:auto val="1"/>
        <c:lblAlgn val="ctr"/>
        <c:lblOffset val="100"/>
        <c:noMultiLvlLbl val="0"/>
      </c:catAx>
      <c:valAx>
        <c:axId val="939964559"/>
        <c:scaling>
          <c:orientation val="minMax"/>
        </c:scaling>
        <c:delete val="1"/>
        <c:axPos val="l"/>
        <c:numFmt formatCode="0.00" sourceLinked="1"/>
        <c:majorTickMark val="out"/>
        <c:minorTickMark val="none"/>
        <c:tickLblPos val="nextTo"/>
        <c:crossAx val="939965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Report'!$J$5:$J$36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D9DD-44A1-9908-F1CEE552C81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60223199"/>
        <c:axId val="860222719"/>
      </c:areaChart>
      <c:catAx>
        <c:axId val="8602231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0222719"/>
        <c:crosses val="autoZero"/>
        <c:auto val="1"/>
        <c:lblAlgn val="ctr"/>
        <c:lblOffset val="100"/>
        <c:noMultiLvlLbl val="0"/>
      </c:catAx>
      <c:valAx>
        <c:axId val="860222719"/>
        <c:scaling>
          <c:orientation val="minMax"/>
        </c:scaling>
        <c:delete val="1"/>
        <c:axPos val="l"/>
        <c:numFmt formatCode="0.00" sourceLinked="1"/>
        <c:majorTickMark val="out"/>
        <c:minorTickMark val="none"/>
        <c:tickLblPos val="nextTo"/>
        <c:crossAx val="860223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Patients of ER'!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556591</xdr:colOff>
      <xdr:row>44</xdr:row>
      <xdr:rowOff>46381</xdr:rowOff>
    </xdr:from>
    <xdr:to>
      <xdr:col>4</xdr:col>
      <xdr:colOff>6626</xdr:colOff>
      <xdr:row>47</xdr:row>
      <xdr:rowOff>119270</xdr:rowOff>
    </xdr:to>
    <xdr:graphicFrame macro="">
      <xdr:nvGraphicFramePr>
        <xdr:cNvPr id="5" name="Chart 4">
          <a:extLst>
            <a:ext uri="{FF2B5EF4-FFF2-40B4-BE49-F238E27FC236}">
              <a16:creationId xmlns:a16="http://schemas.microsoft.com/office/drawing/2014/main" id="{E1CBA0E6-C381-6907-850D-89BEB6194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465909</xdr:colOff>
      <xdr:row>0</xdr:row>
      <xdr:rowOff>34834</xdr:rowOff>
    </xdr:from>
    <xdr:to>
      <xdr:col>7</xdr:col>
      <xdr:colOff>187235</xdr:colOff>
      <xdr:row>3</xdr:row>
      <xdr:rowOff>4354</xdr:rowOff>
    </xdr:to>
    <xdr:sp macro="" textlink="">
      <xdr:nvSpPr>
        <xdr:cNvPr id="2" name="Rectangle: Rounded Corners 1">
          <a:extLst>
            <a:ext uri="{FF2B5EF4-FFF2-40B4-BE49-F238E27FC236}">
              <a16:creationId xmlns:a16="http://schemas.microsoft.com/office/drawing/2014/main" id="{1CC4732C-2067-3226-4B80-FADA40D8B123}"/>
            </a:ext>
          </a:extLst>
        </xdr:cNvPr>
        <xdr:cNvSpPr/>
      </xdr:nvSpPr>
      <xdr:spPr>
        <a:xfrm>
          <a:off x="3513909" y="34834"/>
          <a:ext cx="940526" cy="512445"/>
        </a:xfrm>
        <a:prstGeom prst="roundRect">
          <a:avLst>
            <a:gd name="adj" fmla="val 8303"/>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47896</xdr:colOff>
      <xdr:row>0</xdr:row>
      <xdr:rowOff>34834</xdr:rowOff>
    </xdr:from>
    <xdr:to>
      <xdr:col>5</xdr:col>
      <xdr:colOff>404949</xdr:colOff>
      <xdr:row>3</xdr:row>
      <xdr:rowOff>4354</xdr:rowOff>
    </xdr:to>
    <xdr:sp macro="" textlink="">
      <xdr:nvSpPr>
        <xdr:cNvPr id="3" name="Rectangle: Rounded Corners 2">
          <a:extLst>
            <a:ext uri="{FF2B5EF4-FFF2-40B4-BE49-F238E27FC236}">
              <a16:creationId xmlns:a16="http://schemas.microsoft.com/office/drawing/2014/main" id="{AE786C63-995F-9713-1E1A-D88774B96AA5}"/>
            </a:ext>
          </a:extLst>
        </xdr:cNvPr>
        <xdr:cNvSpPr/>
      </xdr:nvSpPr>
      <xdr:spPr>
        <a:xfrm>
          <a:off x="47896" y="34834"/>
          <a:ext cx="3405053" cy="512445"/>
        </a:xfrm>
        <a:prstGeom prst="roundRect">
          <a:avLst>
            <a:gd name="adj" fmla="val 12020"/>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261257</xdr:colOff>
      <xdr:row>0</xdr:row>
      <xdr:rowOff>34834</xdr:rowOff>
    </xdr:from>
    <xdr:to>
      <xdr:col>9</xdr:col>
      <xdr:colOff>531222</xdr:colOff>
      <xdr:row>7</xdr:row>
      <xdr:rowOff>4354</xdr:rowOff>
    </xdr:to>
    <xdr:sp macro="" textlink="">
      <xdr:nvSpPr>
        <xdr:cNvPr id="4" name="Rectangle: Rounded Corners 3">
          <a:extLst>
            <a:ext uri="{FF2B5EF4-FFF2-40B4-BE49-F238E27FC236}">
              <a16:creationId xmlns:a16="http://schemas.microsoft.com/office/drawing/2014/main" id="{40F267EF-DB8D-B17F-FE80-52396098B8D2}"/>
            </a:ext>
          </a:extLst>
        </xdr:cNvPr>
        <xdr:cNvSpPr/>
      </xdr:nvSpPr>
      <xdr:spPr>
        <a:xfrm>
          <a:off x="4528457" y="34834"/>
          <a:ext cx="1489165" cy="1249680"/>
        </a:xfrm>
        <a:prstGeom prst="roundRect">
          <a:avLst>
            <a:gd name="adj" fmla="val 7197"/>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579120</xdr:colOff>
      <xdr:row>0</xdr:row>
      <xdr:rowOff>34834</xdr:rowOff>
    </xdr:from>
    <xdr:to>
      <xdr:col>12</xdr:col>
      <xdr:colOff>239485</xdr:colOff>
      <xdr:row>7</xdr:row>
      <xdr:rowOff>4354</xdr:rowOff>
    </xdr:to>
    <xdr:sp macro="" textlink="">
      <xdr:nvSpPr>
        <xdr:cNvPr id="6" name="Rectangle: Rounded Corners 5">
          <a:extLst>
            <a:ext uri="{FF2B5EF4-FFF2-40B4-BE49-F238E27FC236}">
              <a16:creationId xmlns:a16="http://schemas.microsoft.com/office/drawing/2014/main" id="{278FCE18-CFDD-C30B-94A4-6C1140DFAD54}"/>
            </a:ext>
          </a:extLst>
        </xdr:cNvPr>
        <xdr:cNvSpPr/>
      </xdr:nvSpPr>
      <xdr:spPr>
        <a:xfrm>
          <a:off x="6065520" y="34834"/>
          <a:ext cx="1489165" cy="1268233"/>
        </a:xfrm>
        <a:prstGeom prst="roundRect">
          <a:avLst>
            <a:gd name="adj" fmla="val 7576"/>
          </a:avLst>
        </a:prstGeom>
        <a:solidFill>
          <a:schemeClr val="bg1">
            <a:lumMod val="95000"/>
          </a:schemeClr>
        </a:solidFill>
        <a:ln>
          <a:solidFill>
            <a:schemeClr val="bg1">
              <a:lumMod val="85000"/>
              <a:alpha val="91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47897</xdr:colOff>
      <xdr:row>3</xdr:row>
      <xdr:rowOff>78376</xdr:rowOff>
    </xdr:from>
    <xdr:to>
      <xdr:col>1</xdr:col>
      <xdr:colOff>65315</xdr:colOff>
      <xdr:row>15</xdr:row>
      <xdr:rowOff>156754</xdr:rowOff>
    </xdr:to>
    <xdr:sp macro="" textlink="">
      <xdr:nvSpPr>
        <xdr:cNvPr id="7" name="Rectangle: Rounded Corners 6">
          <a:extLst>
            <a:ext uri="{FF2B5EF4-FFF2-40B4-BE49-F238E27FC236}">
              <a16:creationId xmlns:a16="http://schemas.microsoft.com/office/drawing/2014/main" id="{D0398B16-F886-9443-F46B-0801C66A3F76}"/>
            </a:ext>
          </a:extLst>
        </xdr:cNvPr>
        <xdr:cNvSpPr/>
      </xdr:nvSpPr>
      <xdr:spPr>
        <a:xfrm>
          <a:off x="47897" y="627016"/>
          <a:ext cx="627018" cy="2272938"/>
        </a:xfrm>
        <a:prstGeom prst="roundRect">
          <a:avLst>
            <a:gd name="adj" fmla="val 11111"/>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152399</xdr:colOff>
      <xdr:row>3</xdr:row>
      <xdr:rowOff>78376</xdr:rowOff>
    </xdr:from>
    <xdr:to>
      <xdr:col>3</xdr:col>
      <xdr:colOff>102331</xdr:colOff>
      <xdr:row>7</xdr:row>
      <xdr:rowOff>0</xdr:rowOff>
    </xdr:to>
    <xdr:sp macro="" textlink="">
      <xdr:nvSpPr>
        <xdr:cNvPr id="8" name="Rectangle: Rounded Corners 7">
          <a:extLst>
            <a:ext uri="{FF2B5EF4-FFF2-40B4-BE49-F238E27FC236}">
              <a16:creationId xmlns:a16="http://schemas.microsoft.com/office/drawing/2014/main" id="{39DE275D-258A-CF93-EF88-06EB709878E2}"/>
            </a:ext>
          </a:extLst>
        </xdr:cNvPr>
        <xdr:cNvSpPr/>
      </xdr:nvSpPr>
      <xdr:spPr>
        <a:xfrm>
          <a:off x="761999" y="621301"/>
          <a:ext cx="1169132" cy="645524"/>
        </a:xfrm>
        <a:prstGeom prst="roundRect">
          <a:avLst>
            <a:gd name="adj" fmla="val 11111"/>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192673</xdr:colOff>
      <xdr:row>3</xdr:row>
      <xdr:rowOff>78376</xdr:rowOff>
    </xdr:from>
    <xdr:to>
      <xdr:col>5</xdr:col>
      <xdr:colOff>142605</xdr:colOff>
      <xdr:row>7</xdr:row>
      <xdr:rowOff>0</xdr:rowOff>
    </xdr:to>
    <xdr:sp macro="" textlink="">
      <xdr:nvSpPr>
        <xdr:cNvPr id="9" name="Rectangle: Rounded Corners 8">
          <a:extLst>
            <a:ext uri="{FF2B5EF4-FFF2-40B4-BE49-F238E27FC236}">
              <a16:creationId xmlns:a16="http://schemas.microsoft.com/office/drawing/2014/main" id="{1D679E3A-6BC3-11B2-0BF4-6D914969F08F}"/>
            </a:ext>
          </a:extLst>
        </xdr:cNvPr>
        <xdr:cNvSpPr/>
      </xdr:nvSpPr>
      <xdr:spPr>
        <a:xfrm>
          <a:off x="2021473" y="627016"/>
          <a:ext cx="1169132" cy="653144"/>
        </a:xfrm>
        <a:prstGeom prst="roundRect">
          <a:avLst>
            <a:gd name="adj" fmla="val 11111"/>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232948</xdr:colOff>
      <xdr:row>3</xdr:row>
      <xdr:rowOff>78376</xdr:rowOff>
    </xdr:from>
    <xdr:to>
      <xdr:col>7</xdr:col>
      <xdr:colOff>182880</xdr:colOff>
      <xdr:row>7</xdr:row>
      <xdr:rowOff>0</xdr:rowOff>
    </xdr:to>
    <xdr:sp macro="" textlink="">
      <xdr:nvSpPr>
        <xdr:cNvPr id="10" name="Rectangle: Rounded Corners 9">
          <a:extLst>
            <a:ext uri="{FF2B5EF4-FFF2-40B4-BE49-F238E27FC236}">
              <a16:creationId xmlns:a16="http://schemas.microsoft.com/office/drawing/2014/main" id="{FE61A6CF-75FA-EB7D-D1B3-7622DCD00034}"/>
            </a:ext>
          </a:extLst>
        </xdr:cNvPr>
        <xdr:cNvSpPr/>
      </xdr:nvSpPr>
      <xdr:spPr>
        <a:xfrm>
          <a:off x="3280948" y="627016"/>
          <a:ext cx="1169132" cy="653144"/>
        </a:xfrm>
        <a:prstGeom prst="roundRect">
          <a:avLst>
            <a:gd name="adj" fmla="val 11111"/>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147636</xdr:colOff>
      <xdr:row>9</xdr:row>
      <xdr:rowOff>171451</xdr:rowOff>
    </xdr:from>
    <xdr:to>
      <xdr:col>7</xdr:col>
      <xdr:colOff>190499</xdr:colOff>
      <xdr:row>15</xdr:row>
      <xdr:rowOff>152809</xdr:rowOff>
    </xdr:to>
    <xdr:sp macro="" textlink="">
      <xdr:nvSpPr>
        <xdr:cNvPr id="13" name="Rectangle: Rounded Corners 12">
          <a:extLst>
            <a:ext uri="{FF2B5EF4-FFF2-40B4-BE49-F238E27FC236}">
              <a16:creationId xmlns:a16="http://schemas.microsoft.com/office/drawing/2014/main" id="{624F54D8-72D8-0120-0D1C-58F3D57EC7BE}"/>
            </a:ext>
          </a:extLst>
        </xdr:cNvPr>
        <xdr:cNvSpPr/>
      </xdr:nvSpPr>
      <xdr:spPr>
        <a:xfrm>
          <a:off x="757236" y="1800226"/>
          <a:ext cx="3700463" cy="1067208"/>
        </a:xfrm>
        <a:prstGeom prst="roundRect">
          <a:avLst>
            <a:gd name="adj" fmla="val 6202"/>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147636</xdr:colOff>
      <xdr:row>7</xdr:row>
      <xdr:rowOff>48305</xdr:rowOff>
    </xdr:from>
    <xdr:to>
      <xdr:col>7</xdr:col>
      <xdr:colOff>190499</xdr:colOff>
      <xdr:row>9</xdr:row>
      <xdr:rowOff>114301</xdr:rowOff>
    </xdr:to>
    <xdr:sp macro="" textlink="">
      <xdr:nvSpPr>
        <xdr:cNvPr id="14" name="Rectangle: Rounded Corners 13">
          <a:extLst>
            <a:ext uri="{FF2B5EF4-FFF2-40B4-BE49-F238E27FC236}">
              <a16:creationId xmlns:a16="http://schemas.microsoft.com/office/drawing/2014/main" id="{C37F0B6B-905B-733E-7A50-022548611EB6}"/>
            </a:ext>
          </a:extLst>
        </xdr:cNvPr>
        <xdr:cNvSpPr/>
      </xdr:nvSpPr>
      <xdr:spPr>
        <a:xfrm>
          <a:off x="757236" y="1315130"/>
          <a:ext cx="3700463" cy="427946"/>
        </a:xfrm>
        <a:prstGeom prst="roundRect">
          <a:avLst>
            <a:gd name="adj" fmla="val 11111"/>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261257</xdr:colOff>
      <xdr:row>7</xdr:row>
      <xdr:rowOff>57150</xdr:rowOff>
    </xdr:from>
    <xdr:to>
      <xdr:col>12</xdr:col>
      <xdr:colOff>257175</xdr:colOff>
      <xdr:row>15</xdr:row>
      <xdr:rowOff>171041</xdr:rowOff>
    </xdr:to>
    <xdr:sp macro="" textlink="">
      <xdr:nvSpPr>
        <xdr:cNvPr id="15" name="Rectangle: Rounded Corners 14">
          <a:extLst>
            <a:ext uri="{FF2B5EF4-FFF2-40B4-BE49-F238E27FC236}">
              <a16:creationId xmlns:a16="http://schemas.microsoft.com/office/drawing/2014/main" id="{0C0B944A-B401-DFCC-4460-8E26A0AF5D49}"/>
            </a:ext>
          </a:extLst>
        </xdr:cNvPr>
        <xdr:cNvSpPr/>
      </xdr:nvSpPr>
      <xdr:spPr>
        <a:xfrm>
          <a:off x="4528457" y="1323975"/>
          <a:ext cx="3043918" cy="1561691"/>
        </a:xfrm>
        <a:prstGeom prst="roundRect">
          <a:avLst>
            <a:gd name="adj" fmla="val 5672"/>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121512</xdr:colOff>
      <xdr:row>0</xdr:row>
      <xdr:rowOff>67628</xdr:rowOff>
    </xdr:from>
    <xdr:to>
      <xdr:col>5</xdr:col>
      <xdr:colOff>209005</xdr:colOff>
      <xdr:row>1</xdr:row>
      <xdr:rowOff>117566</xdr:rowOff>
    </xdr:to>
    <xdr:sp macro="" textlink="">
      <xdr:nvSpPr>
        <xdr:cNvPr id="16" name="TextBox 15">
          <a:extLst>
            <a:ext uri="{FF2B5EF4-FFF2-40B4-BE49-F238E27FC236}">
              <a16:creationId xmlns:a16="http://schemas.microsoft.com/office/drawing/2014/main" id="{9E643C91-6DBA-1D07-F023-A83A12EAA98A}"/>
            </a:ext>
          </a:extLst>
        </xdr:cNvPr>
        <xdr:cNvSpPr txBox="1"/>
      </xdr:nvSpPr>
      <xdr:spPr>
        <a:xfrm>
          <a:off x="731112" y="67628"/>
          <a:ext cx="2525893" cy="23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1200"/>
            <a:t>Hospital Emergency</a:t>
          </a:r>
          <a:r>
            <a:rPr lang="en-IN" sz="1200" baseline="0"/>
            <a:t> Room Dashboard</a:t>
          </a:r>
          <a:endParaRPr lang="en-IN" sz="1200"/>
        </a:p>
      </xdr:txBody>
    </xdr:sp>
    <xdr:clientData/>
  </xdr:twoCellAnchor>
  <xdr:twoCellAnchor editAs="oneCell">
    <xdr:from>
      <xdr:col>0</xdr:col>
      <xdr:colOff>43543</xdr:colOff>
      <xdr:row>0</xdr:row>
      <xdr:rowOff>30481</xdr:rowOff>
    </xdr:from>
    <xdr:to>
      <xdr:col>1</xdr:col>
      <xdr:colOff>47897</xdr:colOff>
      <xdr:row>3</xdr:row>
      <xdr:rowOff>15931</xdr:rowOff>
    </xdr:to>
    <xdr:pic>
      <xdr:nvPicPr>
        <xdr:cNvPr id="18" name="Picture 17">
          <a:extLst>
            <a:ext uri="{FF2B5EF4-FFF2-40B4-BE49-F238E27FC236}">
              <a16:creationId xmlns:a16="http://schemas.microsoft.com/office/drawing/2014/main" id="{0364538D-030C-1A9D-5298-45D3D555C4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139" t="1183" r="18912" b="2694"/>
        <a:stretch>
          <a:fillRect/>
        </a:stretch>
      </xdr:blipFill>
      <xdr:spPr>
        <a:xfrm>
          <a:off x="43543" y="30481"/>
          <a:ext cx="613954" cy="534090"/>
        </a:xfrm>
        <a:prstGeom prst="rect">
          <a:avLst/>
        </a:prstGeom>
      </xdr:spPr>
    </xdr:pic>
    <xdr:clientData/>
  </xdr:twoCellAnchor>
  <xdr:twoCellAnchor editAs="absolute">
    <xdr:from>
      <xdr:col>1</xdr:col>
      <xdr:colOff>117564</xdr:colOff>
      <xdr:row>1</xdr:row>
      <xdr:rowOff>82732</xdr:rowOff>
    </xdr:from>
    <xdr:to>
      <xdr:col>5</xdr:col>
      <xdr:colOff>205057</xdr:colOff>
      <xdr:row>2</xdr:row>
      <xdr:rowOff>132670</xdr:rowOff>
    </xdr:to>
    <xdr:sp macro="" textlink="">
      <xdr:nvSpPr>
        <xdr:cNvPr id="19" name="TextBox 18">
          <a:extLst>
            <a:ext uri="{FF2B5EF4-FFF2-40B4-BE49-F238E27FC236}">
              <a16:creationId xmlns:a16="http://schemas.microsoft.com/office/drawing/2014/main" id="{28453230-6F05-4E26-8CDF-5DBA65615958}"/>
            </a:ext>
          </a:extLst>
        </xdr:cNvPr>
        <xdr:cNvSpPr txBox="1"/>
      </xdr:nvSpPr>
      <xdr:spPr>
        <a:xfrm>
          <a:off x="727164" y="265612"/>
          <a:ext cx="2525893" cy="23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900"/>
            <a:t>Monthly Report</a:t>
          </a:r>
        </a:p>
      </xdr:txBody>
    </xdr:sp>
    <xdr:clientData/>
  </xdr:twoCellAnchor>
  <xdr:twoCellAnchor editAs="absolute">
    <xdr:from>
      <xdr:col>1</xdr:col>
      <xdr:colOff>156752</xdr:colOff>
      <xdr:row>4</xdr:row>
      <xdr:rowOff>117565</xdr:rowOff>
    </xdr:from>
    <xdr:to>
      <xdr:col>3</xdr:col>
      <xdr:colOff>121919</xdr:colOff>
      <xdr:row>5</xdr:row>
      <xdr:rowOff>115250</xdr:rowOff>
    </xdr:to>
    <xdr:sp macro="" textlink="">
      <xdr:nvSpPr>
        <xdr:cNvPr id="20" name="TextBox 19">
          <a:extLst>
            <a:ext uri="{FF2B5EF4-FFF2-40B4-BE49-F238E27FC236}">
              <a16:creationId xmlns:a16="http://schemas.microsoft.com/office/drawing/2014/main" id="{8C3D0A92-CC86-43B8-BCD2-271709404414}"/>
            </a:ext>
          </a:extLst>
        </xdr:cNvPr>
        <xdr:cNvSpPr txBox="1"/>
      </xdr:nvSpPr>
      <xdr:spPr>
        <a:xfrm>
          <a:off x="766352" y="849085"/>
          <a:ext cx="1184367" cy="180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800"/>
            <a:t>No. of Patients</a:t>
          </a:r>
        </a:p>
      </xdr:txBody>
    </xdr:sp>
    <xdr:clientData/>
  </xdr:twoCellAnchor>
  <xdr:twoCellAnchor editAs="absolute">
    <xdr:from>
      <xdr:col>1</xdr:col>
      <xdr:colOff>143691</xdr:colOff>
      <xdr:row>3</xdr:row>
      <xdr:rowOff>121919</xdr:rowOff>
    </xdr:from>
    <xdr:to>
      <xdr:col>3</xdr:col>
      <xdr:colOff>113212</xdr:colOff>
      <xdr:row>4</xdr:row>
      <xdr:rowOff>171857</xdr:rowOff>
    </xdr:to>
    <xdr:sp macro="" textlink="'Pivot Report'!A5">
      <xdr:nvSpPr>
        <xdr:cNvPr id="21" name="TextBox 20">
          <a:extLst>
            <a:ext uri="{FF2B5EF4-FFF2-40B4-BE49-F238E27FC236}">
              <a16:creationId xmlns:a16="http://schemas.microsoft.com/office/drawing/2014/main" id="{0AE38E3D-60E3-4564-B931-795DF2A8FEC0}"/>
            </a:ext>
          </a:extLst>
        </xdr:cNvPr>
        <xdr:cNvSpPr txBox="1"/>
      </xdr:nvSpPr>
      <xdr:spPr>
        <a:xfrm>
          <a:off x="753291" y="670559"/>
          <a:ext cx="1188721" cy="23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fld id="{13F89CE3-4F6C-4C87-B191-C84180A92FAA}" type="TxLink">
            <a:rPr lang="en-US" sz="1100" b="0" i="0" u="none" strike="noStrike">
              <a:solidFill>
                <a:srgbClr val="000000"/>
              </a:solidFill>
              <a:latin typeface="Aptos Narrow"/>
            </a:rPr>
            <a:pPr algn="ctr"/>
            <a:t>488</a:t>
          </a:fld>
          <a:endParaRPr lang="en-IN" sz="900"/>
        </a:p>
      </xdr:txBody>
    </xdr:sp>
    <xdr:clientData/>
  </xdr:twoCellAnchor>
  <xdr:twoCellAnchor editAs="absolute">
    <xdr:from>
      <xdr:col>3</xdr:col>
      <xdr:colOff>191586</xdr:colOff>
      <xdr:row>4</xdr:row>
      <xdr:rowOff>117565</xdr:rowOff>
    </xdr:from>
    <xdr:to>
      <xdr:col>5</xdr:col>
      <xdr:colOff>156753</xdr:colOff>
      <xdr:row>5</xdr:row>
      <xdr:rowOff>115250</xdr:rowOff>
    </xdr:to>
    <xdr:sp macro="" textlink="">
      <xdr:nvSpPr>
        <xdr:cNvPr id="22" name="TextBox 21">
          <a:extLst>
            <a:ext uri="{FF2B5EF4-FFF2-40B4-BE49-F238E27FC236}">
              <a16:creationId xmlns:a16="http://schemas.microsoft.com/office/drawing/2014/main" id="{1C9BC45F-8E4C-836A-978D-2A5AD37DE564}"/>
            </a:ext>
          </a:extLst>
        </xdr:cNvPr>
        <xdr:cNvSpPr txBox="1"/>
      </xdr:nvSpPr>
      <xdr:spPr>
        <a:xfrm>
          <a:off x="2020386" y="849085"/>
          <a:ext cx="1184367" cy="180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800"/>
            <a:t>Average Wait Time</a:t>
          </a:r>
        </a:p>
      </xdr:txBody>
    </xdr:sp>
    <xdr:clientData/>
  </xdr:twoCellAnchor>
  <xdr:twoCellAnchor editAs="absolute">
    <xdr:from>
      <xdr:col>3</xdr:col>
      <xdr:colOff>178525</xdr:colOff>
      <xdr:row>3</xdr:row>
      <xdr:rowOff>121919</xdr:rowOff>
    </xdr:from>
    <xdr:to>
      <xdr:col>5</xdr:col>
      <xdr:colOff>148046</xdr:colOff>
      <xdr:row>4</xdr:row>
      <xdr:rowOff>171857</xdr:rowOff>
    </xdr:to>
    <xdr:sp macro="" textlink="'Pivot Report'!A9">
      <xdr:nvSpPr>
        <xdr:cNvPr id="23" name="TextBox 22">
          <a:extLst>
            <a:ext uri="{FF2B5EF4-FFF2-40B4-BE49-F238E27FC236}">
              <a16:creationId xmlns:a16="http://schemas.microsoft.com/office/drawing/2014/main" id="{E2ECBEAD-A071-1341-D0E7-013601E71856}"/>
            </a:ext>
          </a:extLst>
        </xdr:cNvPr>
        <xdr:cNvSpPr txBox="1"/>
      </xdr:nvSpPr>
      <xdr:spPr>
        <a:xfrm>
          <a:off x="2007325" y="670559"/>
          <a:ext cx="1188721" cy="23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fld id="{74C7AC4E-7F80-4F2C-B231-E2ADCBD13C80}" type="TxLink">
            <a:rPr lang="en-US" sz="1100" b="0" i="0" u="none" strike="noStrike">
              <a:solidFill>
                <a:srgbClr val="000000"/>
              </a:solidFill>
              <a:latin typeface="Aptos Narrow"/>
            </a:rPr>
            <a:pPr algn="ctr"/>
            <a:t>35.2</a:t>
          </a:fld>
          <a:endParaRPr lang="en-IN" sz="900"/>
        </a:p>
      </xdr:txBody>
    </xdr:sp>
    <xdr:clientData/>
  </xdr:twoCellAnchor>
  <xdr:twoCellAnchor editAs="absolute">
    <xdr:from>
      <xdr:col>5</xdr:col>
      <xdr:colOff>226421</xdr:colOff>
      <xdr:row>4</xdr:row>
      <xdr:rowOff>117565</xdr:rowOff>
    </xdr:from>
    <xdr:to>
      <xdr:col>7</xdr:col>
      <xdr:colOff>191588</xdr:colOff>
      <xdr:row>5</xdr:row>
      <xdr:rowOff>115250</xdr:rowOff>
    </xdr:to>
    <xdr:sp macro="" textlink="">
      <xdr:nvSpPr>
        <xdr:cNvPr id="24" name="TextBox 23">
          <a:extLst>
            <a:ext uri="{FF2B5EF4-FFF2-40B4-BE49-F238E27FC236}">
              <a16:creationId xmlns:a16="http://schemas.microsoft.com/office/drawing/2014/main" id="{50ACFC2B-2F09-7766-6D28-DABAEC65EB6E}"/>
            </a:ext>
          </a:extLst>
        </xdr:cNvPr>
        <xdr:cNvSpPr txBox="1"/>
      </xdr:nvSpPr>
      <xdr:spPr>
        <a:xfrm>
          <a:off x="3274421" y="849085"/>
          <a:ext cx="1184367" cy="180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800"/>
            <a:t>Patient Satisfaction Score</a:t>
          </a:r>
        </a:p>
      </xdr:txBody>
    </xdr:sp>
    <xdr:clientData/>
  </xdr:twoCellAnchor>
  <xdr:twoCellAnchor editAs="absolute">
    <xdr:from>
      <xdr:col>5</xdr:col>
      <xdr:colOff>213360</xdr:colOff>
      <xdr:row>3</xdr:row>
      <xdr:rowOff>121919</xdr:rowOff>
    </xdr:from>
    <xdr:to>
      <xdr:col>7</xdr:col>
      <xdr:colOff>182881</xdr:colOff>
      <xdr:row>4</xdr:row>
      <xdr:rowOff>171857</xdr:rowOff>
    </xdr:to>
    <xdr:sp macro="" textlink="'Pivot Report'!A12">
      <xdr:nvSpPr>
        <xdr:cNvPr id="25" name="TextBox 24">
          <a:extLst>
            <a:ext uri="{FF2B5EF4-FFF2-40B4-BE49-F238E27FC236}">
              <a16:creationId xmlns:a16="http://schemas.microsoft.com/office/drawing/2014/main" id="{D2AC2F4F-A038-62AF-31D4-ED1CA2237BFB}"/>
            </a:ext>
          </a:extLst>
        </xdr:cNvPr>
        <xdr:cNvSpPr txBox="1"/>
      </xdr:nvSpPr>
      <xdr:spPr>
        <a:xfrm>
          <a:off x="3261360" y="670559"/>
          <a:ext cx="1188721" cy="23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fld id="{CF9A1659-C4C6-4A44-B8BE-638DCAC0011A}" type="TxLink">
            <a:rPr lang="en-US" sz="1100" b="0" i="0" u="none" strike="noStrike">
              <a:solidFill>
                <a:srgbClr val="000000"/>
              </a:solidFill>
              <a:latin typeface="Aptos Narrow"/>
            </a:rPr>
            <a:pPr algn="ctr"/>
            <a:t>4.79</a:t>
          </a:fld>
          <a:endParaRPr lang="en-IN" sz="900"/>
        </a:p>
      </xdr:txBody>
    </xdr:sp>
    <xdr:clientData/>
  </xdr:twoCellAnchor>
  <xdr:twoCellAnchor editAs="oneCell">
    <xdr:from>
      <xdr:col>2</xdr:col>
      <xdr:colOff>496390</xdr:colOff>
      <xdr:row>3</xdr:row>
      <xdr:rowOff>87086</xdr:rowOff>
    </xdr:from>
    <xdr:to>
      <xdr:col>3</xdr:col>
      <xdr:colOff>60961</xdr:colOff>
      <xdr:row>4</xdr:row>
      <xdr:rowOff>78377</xdr:rowOff>
    </xdr:to>
    <xdr:pic>
      <xdr:nvPicPr>
        <xdr:cNvPr id="27" name="Graphic 26" descr="Sling with solid fill">
          <a:extLst>
            <a:ext uri="{FF2B5EF4-FFF2-40B4-BE49-F238E27FC236}">
              <a16:creationId xmlns:a16="http://schemas.microsoft.com/office/drawing/2014/main" id="{A0A15862-FA60-7FC7-5430-D0E0A8F4D5D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15590" y="635726"/>
          <a:ext cx="174171" cy="174171"/>
        </a:xfrm>
        <a:prstGeom prst="rect">
          <a:avLst/>
        </a:prstGeom>
      </xdr:spPr>
    </xdr:pic>
    <xdr:clientData/>
  </xdr:twoCellAnchor>
  <xdr:twoCellAnchor editAs="oneCell">
    <xdr:from>
      <xdr:col>4</xdr:col>
      <xdr:colOff>539931</xdr:colOff>
      <xdr:row>3</xdr:row>
      <xdr:rowOff>95794</xdr:rowOff>
    </xdr:from>
    <xdr:to>
      <xdr:col>5</xdr:col>
      <xdr:colOff>104503</xdr:colOff>
      <xdr:row>4</xdr:row>
      <xdr:rowOff>87086</xdr:rowOff>
    </xdr:to>
    <xdr:pic>
      <xdr:nvPicPr>
        <xdr:cNvPr id="29" name="Graphic 28" descr="Hourglass 90% with solid fill">
          <a:extLst>
            <a:ext uri="{FF2B5EF4-FFF2-40B4-BE49-F238E27FC236}">
              <a16:creationId xmlns:a16="http://schemas.microsoft.com/office/drawing/2014/main" id="{56F42436-4642-7A7F-353B-3BAFA76D195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78331" y="644434"/>
          <a:ext cx="174172" cy="174172"/>
        </a:xfrm>
        <a:prstGeom prst="rect">
          <a:avLst/>
        </a:prstGeom>
      </xdr:spPr>
    </xdr:pic>
    <xdr:clientData/>
  </xdr:twoCellAnchor>
  <xdr:twoCellAnchor editAs="oneCell">
    <xdr:from>
      <xdr:col>6</xdr:col>
      <xdr:colOff>579121</xdr:colOff>
      <xdr:row>3</xdr:row>
      <xdr:rowOff>78378</xdr:rowOff>
    </xdr:from>
    <xdr:to>
      <xdr:col>7</xdr:col>
      <xdr:colOff>152401</xdr:colOff>
      <xdr:row>4</xdr:row>
      <xdr:rowOff>78378</xdr:rowOff>
    </xdr:to>
    <xdr:pic>
      <xdr:nvPicPr>
        <xdr:cNvPr id="35" name="Graphic 34" descr="Rating with solid fill">
          <a:extLst>
            <a:ext uri="{FF2B5EF4-FFF2-40B4-BE49-F238E27FC236}">
              <a16:creationId xmlns:a16="http://schemas.microsoft.com/office/drawing/2014/main" id="{28A98644-26AF-1A9C-BD18-864EE483B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36721" y="627018"/>
          <a:ext cx="182880" cy="182880"/>
        </a:xfrm>
        <a:prstGeom prst="rect">
          <a:avLst/>
        </a:prstGeom>
      </xdr:spPr>
    </xdr:pic>
    <xdr:clientData/>
  </xdr:twoCellAnchor>
  <xdr:twoCellAnchor editAs="oneCell">
    <xdr:from>
      <xdr:col>0</xdr:col>
      <xdr:colOff>90487</xdr:colOff>
      <xdr:row>3</xdr:row>
      <xdr:rowOff>109534</xdr:rowOff>
    </xdr:from>
    <xdr:to>
      <xdr:col>1</xdr:col>
      <xdr:colOff>18097</xdr:colOff>
      <xdr:row>15</xdr:row>
      <xdr:rowOff>96921</xdr:rowOff>
    </xdr:to>
    <mc:AlternateContent xmlns:mc="http://schemas.openxmlformats.org/markup-compatibility/2006" xmlns:a14="http://schemas.microsoft.com/office/drawing/2010/main">
      <mc:Choice Requires="a14">
        <xdr:graphicFrame macro="">
          <xdr:nvGraphicFramePr>
            <xdr:cNvPr id="37" name="Date (Month) 1">
              <a:extLst>
                <a:ext uri="{FF2B5EF4-FFF2-40B4-BE49-F238E27FC236}">
                  <a16:creationId xmlns:a16="http://schemas.microsoft.com/office/drawing/2014/main" id="{75C84643-8CD7-4A5D-8DCF-4201A3CB24FF}"/>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0487" y="661327"/>
              <a:ext cx="53721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79483</xdr:colOff>
      <xdr:row>4</xdr:row>
      <xdr:rowOff>126782</xdr:rowOff>
    </xdr:from>
    <xdr:to>
      <xdr:col>3</xdr:col>
      <xdr:colOff>117584</xdr:colOff>
      <xdr:row>7</xdr:row>
      <xdr:rowOff>74395</xdr:rowOff>
    </xdr:to>
    <xdr:graphicFrame macro="">
      <xdr:nvGraphicFramePr>
        <xdr:cNvPr id="12" name="Chart 11">
          <a:hlinkClick xmlns:r="http://schemas.openxmlformats.org/officeDocument/2006/relationships" r:id="rId8"/>
          <a:extLst>
            <a:ext uri="{FF2B5EF4-FFF2-40B4-BE49-F238E27FC236}">
              <a16:creationId xmlns:a16="http://schemas.microsoft.com/office/drawing/2014/main" id="{867B92E2-881A-49E2-B09A-B90E3D42D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214876</xdr:colOff>
      <xdr:row>5</xdr:row>
      <xdr:rowOff>167938</xdr:rowOff>
    </xdr:from>
    <xdr:to>
      <xdr:col>5</xdr:col>
      <xdr:colOff>145774</xdr:colOff>
      <xdr:row>6</xdr:row>
      <xdr:rowOff>167937</xdr:rowOff>
    </xdr:to>
    <xdr:graphicFrame macro="">
      <xdr:nvGraphicFramePr>
        <xdr:cNvPr id="17" name="Chart 16">
          <a:hlinkClick xmlns:r="http://schemas.openxmlformats.org/officeDocument/2006/relationships" r:id="rId10"/>
          <a:extLst>
            <a:ext uri="{FF2B5EF4-FFF2-40B4-BE49-F238E27FC236}">
              <a16:creationId xmlns:a16="http://schemas.microsoft.com/office/drawing/2014/main" id="{EB1D1EBA-95A7-4D89-AB49-6331ED945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231226</xdr:colOff>
      <xdr:row>5</xdr:row>
      <xdr:rowOff>57807</xdr:rowOff>
    </xdr:from>
    <xdr:to>
      <xdr:col>7</xdr:col>
      <xdr:colOff>178676</xdr:colOff>
      <xdr:row>6</xdr:row>
      <xdr:rowOff>162912</xdr:rowOff>
    </xdr:to>
    <xdr:graphicFrame macro="">
      <xdr:nvGraphicFramePr>
        <xdr:cNvPr id="26" name="Chart 25">
          <a:hlinkClick xmlns:r="http://schemas.openxmlformats.org/officeDocument/2006/relationships" r:id="rId12"/>
          <a:extLst>
            <a:ext uri="{FF2B5EF4-FFF2-40B4-BE49-F238E27FC236}">
              <a16:creationId xmlns:a16="http://schemas.microsoft.com/office/drawing/2014/main" id="{096258F2-E8A1-4259-BA38-78466D5C3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147146</xdr:colOff>
          <xdr:row>7</xdr:row>
          <xdr:rowOff>32163</xdr:rowOff>
        </xdr:from>
        <xdr:to>
          <xdr:col>7</xdr:col>
          <xdr:colOff>194442</xdr:colOff>
          <xdr:row>9</xdr:row>
          <xdr:rowOff>109700</xdr:rowOff>
        </xdr:to>
        <xdr:pic>
          <xdr:nvPicPr>
            <xdr:cNvPr id="30" name="Picture 29">
              <a:extLst>
                <a:ext uri="{FF2B5EF4-FFF2-40B4-BE49-F238E27FC236}">
                  <a16:creationId xmlns:a16="http://schemas.microsoft.com/office/drawing/2014/main" id="{C55113BF-2388-835F-18F5-9D14E32E4D69}"/>
                </a:ext>
              </a:extLst>
            </xdr:cNvPr>
            <xdr:cNvPicPr>
              <a:picLocks noChangeAspect="1" noChangeArrowheads="1"/>
              <a:extLst>
                <a:ext uri="{84589F7E-364E-4C9E-8A38-B11213B215E9}">
                  <a14:cameraTool cellRange="'Pivot Report'!$A$45:$D$47" spid="_x0000_s1061"/>
                </a:ext>
              </a:extLst>
            </xdr:cNvPicPr>
          </xdr:nvPicPr>
          <xdr:blipFill>
            <a:blip xmlns:r="http://schemas.openxmlformats.org/officeDocument/2006/relationships" r:embed="rId14"/>
            <a:srcRect/>
            <a:stretch>
              <a:fillRect/>
            </a:stretch>
          </xdr:blipFill>
          <xdr:spPr bwMode="auto">
            <a:xfrm>
              <a:off x="756746" y="1319680"/>
              <a:ext cx="3704896" cy="44539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21021</xdr:colOff>
      <xdr:row>9</xdr:row>
      <xdr:rowOff>141889</xdr:rowOff>
    </xdr:from>
    <xdr:to>
      <xdr:col>7</xdr:col>
      <xdr:colOff>315310</xdr:colOff>
      <xdr:row>16</xdr:row>
      <xdr:rowOff>15766</xdr:rowOff>
    </xdr:to>
    <xdr:graphicFrame macro="">
      <xdr:nvGraphicFramePr>
        <xdr:cNvPr id="31" name="Chart 30">
          <a:extLst>
            <a:ext uri="{FF2B5EF4-FFF2-40B4-BE49-F238E27FC236}">
              <a16:creationId xmlns:a16="http://schemas.microsoft.com/office/drawing/2014/main" id="{AE312144-8B71-4E0E-A59E-6660E812B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51648</xdr:colOff>
      <xdr:row>14</xdr:row>
      <xdr:rowOff>162911</xdr:rowOff>
    </xdr:from>
    <xdr:to>
      <xdr:col>5</xdr:col>
      <xdr:colOff>16815</xdr:colOff>
      <xdr:row>15</xdr:row>
      <xdr:rowOff>160595</xdr:rowOff>
    </xdr:to>
    <xdr:sp macro="" textlink="">
      <xdr:nvSpPr>
        <xdr:cNvPr id="32" name="TextBox 31">
          <a:extLst>
            <a:ext uri="{FF2B5EF4-FFF2-40B4-BE49-F238E27FC236}">
              <a16:creationId xmlns:a16="http://schemas.microsoft.com/office/drawing/2014/main" id="{91716F35-1244-4670-BB75-3AE5E79275A1}"/>
            </a:ext>
          </a:extLst>
        </xdr:cNvPr>
        <xdr:cNvSpPr txBox="1"/>
      </xdr:nvSpPr>
      <xdr:spPr>
        <a:xfrm>
          <a:off x="1880448" y="2737945"/>
          <a:ext cx="1184367" cy="181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800"/>
            <a:t>No. of Patients by Age Group</a:t>
          </a:r>
        </a:p>
      </xdr:txBody>
    </xdr:sp>
    <xdr:clientData/>
  </xdr:twoCellAnchor>
  <xdr:twoCellAnchor>
    <xdr:from>
      <xdr:col>7</xdr:col>
      <xdr:colOff>284924</xdr:colOff>
      <xdr:row>0</xdr:row>
      <xdr:rowOff>43642</xdr:rowOff>
    </xdr:from>
    <xdr:to>
      <xdr:col>9</xdr:col>
      <xdr:colOff>503584</xdr:colOff>
      <xdr:row>6</xdr:row>
      <xdr:rowOff>162910</xdr:rowOff>
    </xdr:to>
    <xdr:graphicFrame macro="">
      <xdr:nvGraphicFramePr>
        <xdr:cNvPr id="34" name="Chart 33">
          <a:extLst>
            <a:ext uri="{FF2B5EF4-FFF2-40B4-BE49-F238E27FC236}">
              <a16:creationId xmlns:a16="http://schemas.microsoft.com/office/drawing/2014/main" id="{15284AC2-F4D0-4134-94A4-CD32CA20A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443947</xdr:colOff>
      <xdr:row>6</xdr:row>
      <xdr:rowOff>46382</xdr:rowOff>
    </xdr:from>
    <xdr:to>
      <xdr:col>9</xdr:col>
      <xdr:colOff>409114</xdr:colOff>
      <xdr:row>7</xdr:row>
      <xdr:rowOff>44067</xdr:rowOff>
    </xdr:to>
    <xdr:sp macro="" textlink="">
      <xdr:nvSpPr>
        <xdr:cNvPr id="36" name="TextBox 35">
          <a:extLst>
            <a:ext uri="{FF2B5EF4-FFF2-40B4-BE49-F238E27FC236}">
              <a16:creationId xmlns:a16="http://schemas.microsoft.com/office/drawing/2014/main" id="{45E284B4-6696-497B-A598-FCAF443B6A3B}"/>
            </a:ext>
          </a:extLst>
        </xdr:cNvPr>
        <xdr:cNvSpPr txBox="1"/>
      </xdr:nvSpPr>
      <xdr:spPr>
        <a:xfrm>
          <a:off x="4711147" y="1159565"/>
          <a:ext cx="1184367" cy="18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800"/>
            <a:t>Attendance Status</a:t>
          </a:r>
        </a:p>
      </xdr:txBody>
    </xdr:sp>
    <xdr:clientData/>
  </xdr:twoCellAnchor>
  <xdr:twoCellAnchor>
    <xdr:from>
      <xdr:col>9</xdr:col>
      <xdr:colOff>556592</xdr:colOff>
      <xdr:row>0</xdr:row>
      <xdr:rowOff>33131</xdr:rowOff>
    </xdr:from>
    <xdr:to>
      <xdr:col>12</xdr:col>
      <xdr:colOff>384314</xdr:colOff>
      <xdr:row>6</xdr:row>
      <xdr:rowOff>106017</xdr:rowOff>
    </xdr:to>
    <xdr:graphicFrame macro="">
      <xdr:nvGraphicFramePr>
        <xdr:cNvPr id="38" name="Chart 37">
          <a:extLst>
            <a:ext uri="{FF2B5EF4-FFF2-40B4-BE49-F238E27FC236}">
              <a16:creationId xmlns:a16="http://schemas.microsoft.com/office/drawing/2014/main" id="{8798527F-9077-483D-ACD6-3A355ED76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112643</xdr:colOff>
      <xdr:row>6</xdr:row>
      <xdr:rowOff>53009</xdr:rowOff>
    </xdr:from>
    <xdr:to>
      <xdr:col>12</xdr:col>
      <xdr:colOff>77810</xdr:colOff>
      <xdr:row>7</xdr:row>
      <xdr:rowOff>50694</xdr:rowOff>
    </xdr:to>
    <xdr:sp macro="" textlink="">
      <xdr:nvSpPr>
        <xdr:cNvPr id="41" name="TextBox 40">
          <a:extLst>
            <a:ext uri="{FF2B5EF4-FFF2-40B4-BE49-F238E27FC236}">
              <a16:creationId xmlns:a16="http://schemas.microsoft.com/office/drawing/2014/main" id="{9C5D90FC-F913-486D-960F-34114B9A5E73}"/>
            </a:ext>
          </a:extLst>
        </xdr:cNvPr>
        <xdr:cNvSpPr txBox="1"/>
      </xdr:nvSpPr>
      <xdr:spPr>
        <a:xfrm>
          <a:off x="6208643" y="1166192"/>
          <a:ext cx="1184367" cy="18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800"/>
            <a:t>Patient Gender Distribution</a:t>
          </a:r>
        </a:p>
      </xdr:txBody>
    </xdr:sp>
    <xdr:clientData/>
  </xdr:twoCellAnchor>
  <xdr:twoCellAnchor>
    <xdr:from>
      <xdr:col>7</xdr:col>
      <xdr:colOff>273269</xdr:colOff>
      <xdr:row>6</xdr:row>
      <xdr:rowOff>141890</xdr:rowOff>
    </xdr:from>
    <xdr:to>
      <xdr:col>12</xdr:col>
      <xdr:colOff>278524</xdr:colOff>
      <xdr:row>15</xdr:row>
      <xdr:rowOff>162910</xdr:rowOff>
    </xdr:to>
    <xdr:graphicFrame macro="">
      <xdr:nvGraphicFramePr>
        <xdr:cNvPr id="42" name="Chart 41">
          <a:extLst>
            <a:ext uri="{FF2B5EF4-FFF2-40B4-BE49-F238E27FC236}">
              <a16:creationId xmlns:a16="http://schemas.microsoft.com/office/drawing/2014/main" id="{D9F5D2AD-06F8-4492-ACAF-CD4B3DCAF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451945</xdr:colOff>
      <xdr:row>15</xdr:row>
      <xdr:rowOff>0</xdr:rowOff>
    </xdr:from>
    <xdr:to>
      <xdr:col>11</xdr:col>
      <xdr:colOff>225972</xdr:colOff>
      <xdr:row>15</xdr:row>
      <xdr:rowOff>181616</xdr:rowOff>
    </xdr:to>
    <xdr:sp macro="" textlink="">
      <xdr:nvSpPr>
        <xdr:cNvPr id="43" name="TextBox 42">
          <a:extLst>
            <a:ext uri="{FF2B5EF4-FFF2-40B4-BE49-F238E27FC236}">
              <a16:creationId xmlns:a16="http://schemas.microsoft.com/office/drawing/2014/main" id="{89624CA7-BD2C-44EA-AA82-C4E41D06F164}"/>
            </a:ext>
          </a:extLst>
        </xdr:cNvPr>
        <xdr:cNvSpPr txBox="1"/>
      </xdr:nvSpPr>
      <xdr:spPr>
        <a:xfrm>
          <a:off x="5328745" y="2758966"/>
          <a:ext cx="1602827" cy="181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oAutofit/>
        </a:bodyPr>
        <a:lstStyle/>
        <a:p>
          <a:pPr algn="ctr"/>
          <a:r>
            <a:rPr lang="en-IN" sz="800" baseline="0"/>
            <a:t>Patients by Department Referal</a:t>
          </a:r>
          <a:endParaRPr lang="en-IN" sz="800"/>
        </a:p>
      </xdr:txBody>
    </xdr:sp>
    <xdr:clientData/>
  </xdr:twoCellAnchor>
  <xdr:twoCellAnchor editAs="oneCell">
    <xdr:from>
      <xdr:col>5</xdr:col>
      <xdr:colOff>483476</xdr:colOff>
      <xdr:row>0</xdr:row>
      <xdr:rowOff>141892</xdr:rowOff>
    </xdr:from>
    <xdr:to>
      <xdr:col>7</xdr:col>
      <xdr:colOff>189186</xdr:colOff>
      <xdr:row>2</xdr:row>
      <xdr:rowOff>94593</xdr:rowOff>
    </xdr:to>
    <mc:AlternateContent xmlns:mc="http://schemas.openxmlformats.org/markup-compatibility/2006" xmlns:a14="http://schemas.microsoft.com/office/drawing/2010/main">
      <mc:Choice Requires="a14">
        <xdr:graphicFrame macro="">
          <xdr:nvGraphicFramePr>
            <xdr:cNvPr id="44" name="Date (Year)">
              <a:extLst>
                <a:ext uri="{FF2B5EF4-FFF2-40B4-BE49-F238E27FC236}">
                  <a16:creationId xmlns:a16="http://schemas.microsoft.com/office/drawing/2014/main" id="{2C8D180F-DCD9-40E5-A0E3-B397B23B831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531476" y="141892"/>
              <a:ext cx="924910" cy="320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21021</xdr:rowOff>
    </xdr:from>
    <xdr:to>
      <xdr:col>12</xdr:col>
      <xdr:colOff>120868</xdr:colOff>
      <xdr:row>13</xdr:row>
      <xdr:rowOff>31531</xdr:rowOff>
    </xdr:to>
    <xdr:graphicFrame macro="">
      <xdr:nvGraphicFramePr>
        <xdr:cNvPr id="2" name="Chart 1">
          <a:extLst>
            <a:ext uri="{FF2B5EF4-FFF2-40B4-BE49-F238E27FC236}">
              <a16:creationId xmlns:a16="http://schemas.microsoft.com/office/drawing/2014/main" id="{893D4AFE-DDB3-4F40-A5E9-5DAEA852A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0.00777</cdr:x>
      <cdr:y>0.01094</cdr:y>
    </cdr:from>
    <cdr:to>
      <cdr:x>0.053</cdr:x>
      <cdr:y>0.15098</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47E0AF2-10A6-44FB-59ED-AAA52543C69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7807" y="26276"/>
          <a:ext cx="336331" cy="336331"/>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365760</xdr:colOff>
      <xdr:row>21</xdr:row>
      <xdr:rowOff>22860</xdr:rowOff>
    </xdr:to>
    <xdr:graphicFrame macro="">
      <xdr:nvGraphicFramePr>
        <xdr:cNvPr id="2" name="Chart 1">
          <a:extLst>
            <a:ext uri="{FF2B5EF4-FFF2-40B4-BE49-F238E27FC236}">
              <a16:creationId xmlns:a16="http://schemas.microsoft.com/office/drawing/2014/main" id="{FB810BAF-4E16-4241-AEB2-CAD70E8A9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0.00534</cdr:x>
      <cdr:y>0.01315</cdr:y>
    </cdr:from>
    <cdr:to>
      <cdr:x>0.04071</cdr:x>
      <cdr:y>0.10021</cdr:y>
    </cdr:to>
    <cdr:pic>
      <cdr:nvPicPr>
        <cdr:cNvPr id="2" name="Graphic 1"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B5688B9-619D-46F8-DD5C-FF412197E21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36331" cy="336331"/>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571500</xdr:colOff>
      <xdr:row>20</xdr:row>
      <xdr:rowOff>167640</xdr:rowOff>
    </xdr:to>
    <xdr:graphicFrame macro="">
      <xdr:nvGraphicFramePr>
        <xdr:cNvPr id="2" name="Chart 1">
          <a:extLst>
            <a:ext uri="{FF2B5EF4-FFF2-40B4-BE49-F238E27FC236}">
              <a16:creationId xmlns:a16="http://schemas.microsoft.com/office/drawing/2014/main" id="{4A758540-8BE3-4C24-B01D-3388CF788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0.00598</cdr:x>
      <cdr:y>0.01328</cdr:y>
    </cdr:from>
    <cdr:to>
      <cdr:x>0.04556</cdr:x>
      <cdr:y>0.1012</cdr:y>
    </cdr:to>
    <cdr:pic>
      <cdr:nvPicPr>
        <cdr:cNvPr id="2" name="Graphic 1"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8ED5139-3D3F-44FD-29B2-C443B419EF2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36331" cy="33633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4444448" createdVersion="5" refreshedVersion="8" minRefreshableVersion="3" recordCount="0" supportSubquery="1" supportAdvancedDrill="1" xr:uid="{DFCEE785-DFED-4D4B-9BA6-16B80B3CAA1D}">
  <cacheSource type="external" connectionId="3"/>
  <cacheFields count="4">
    <cacheField name="[Calendar_Table].[Date (Month)].[Date (Month)]" caption="Date (Month)" numFmtId="0" hierarchy="1" level="1">
      <sharedItems count="1">
        <s v="May"/>
      </sharedItems>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4675925" createdVersion="5" refreshedVersion="8" minRefreshableVersion="3" recordCount="0" supportSubquery="1" supportAdvancedDrill="1" xr:uid="{3C7C44FC-A0A4-4CC8-92C6-B8D1D9104C47}">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5023149" createdVersion="5" refreshedVersion="8" minRefreshableVersion="3" recordCount="0" supportSubquery="1" supportAdvancedDrill="1" xr:uid="{EF67E2C4-A5F8-4334-965D-088FF70E623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5486111" createdVersion="5" refreshedVersion="8" minRefreshableVersion="3" recordCount="0" supportSubquery="1" supportAdvancedDrill="1" xr:uid="{22440196-2E88-451F-850C-F21E681BCAB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6064818" createdVersion="5" refreshedVersion="8" minRefreshableVersion="3" recordCount="0" supportSubquery="1" supportAdvancedDrill="1" xr:uid="{7C668E5E-9166-4265-9DD0-259CFAC67356}">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652778" createdVersion="5" refreshedVersion="8" minRefreshableVersion="3" recordCount="0" supportSubquery="1" supportAdvancedDrill="1" xr:uid="{82EFA5F7-0C30-4FAD-84BB-DBB44F7E9124}">
  <cacheSource type="external" connectionId="3"/>
  <cacheFields count="4">
    <cacheField name="[Calendar_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Ja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6875004" createdVersion="5" refreshedVersion="8" minRefreshableVersion="3" recordCount="0" supportSubquery="1" supportAdvancedDrill="1" xr:uid="{ECDF8068-656A-4F8F-9F17-03D019D4FE68}">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7106481" createdVersion="5" refreshedVersion="8" minRefreshableVersion="3" recordCount="0" supportSubquery="1" supportAdvancedDrill="1" xr:uid="{9B6B63A3-8A0C-4FB3-A8C7-1668A9B4474C}">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7685189" createdVersion="5" refreshedVersion="8" minRefreshableVersion="3" recordCount="0" supportSubquery="1" supportAdvancedDrill="1" xr:uid="{46177F2A-A1E4-470D-8C8D-5F9E4EA627F4}">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8611112" createdVersion="5" refreshedVersion="8" minRefreshableVersion="3" recordCount="0" supportSubquery="1" supportAdvancedDrill="1" xr:uid="{F1308F34-DE42-477C-AA83-916FE0206F99}">
  <cacheSource type="external" connectionId="3"/>
  <cacheFields count="4">
    <cacheField name="[Calendar_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Jan"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9074074" createdVersion="5" refreshedVersion="8" minRefreshableVersion="3" recordCount="0" supportSubquery="1" supportAdvancedDrill="1" xr:uid="{0FF18DA6-4BDF-4393-AE2F-533F624E8FBE}">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8399652775" createdVersion="5" refreshedVersion="8" minRefreshableVersion="3" recordCount="0" supportSubquery="1" supportAdvancedDrill="1" xr:uid="{062C915C-66B5-4F23-9781-7F40F0047FEA}">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Ahire" refreshedDate="46201.64527361111" createdVersion="3" refreshedVersion="8" minRefreshableVersion="3" recordCount="0" supportSubquery="1" supportAdvancedDrill="1" xr:uid="{EC92F3DF-5830-4BE3-9B9B-E233A1C39F1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852808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3C4FC-3B6E-4744-9B3B-00FF8943EC67}" name="PivotTable12" cacheId="4" applyNumberFormats="0" applyBorderFormats="0" applyFontFormats="0" applyPatternFormats="0" applyAlignmentFormats="0" applyWidthHeightFormats="1" dataCaption="Values" tag="b8f3589c-d3f8-4ddf-9d59-b909587fc864" updatedVersion="8" minRefreshableVersion="3" subtotalHiddenItems="1" itemPrintTitles="1" createdVersion="5" indent="0" outline="1" outlineData="1" multipleFieldFilters="0" chartFormat="39">
  <location ref="A64:B7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1">
    <format dxfId="3">
      <pivotArea outline="0" collapsedLevelsAreSubtotals="1" fieldPosition="0"/>
    </format>
  </formats>
  <chartFormats count="1">
    <chartFormat chart="3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45D60B-E5F2-4D11-A0A1-ED7E12709148}" name="PivotTable1" cacheId="1" applyNumberFormats="0" applyBorderFormats="0" applyFontFormats="0" applyPatternFormats="0" applyAlignmentFormats="0" applyWidthHeightFormats="1" dataCaption="Values" tag="73469d49-5e4a-42b1-948c-9da21ad7ae1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1DDA51-15F4-4564-A2A1-DBF85B9EAA03}" name="PivotTable5" cacheId="8" applyNumberFormats="0" applyBorderFormats="0" applyFontFormats="0" applyPatternFormats="0" applyAlignmentFormats="0" applyWidthHeightFormats="1" dataCaption="Values" tag="4c90adbd-471b-4400-b318-61b3a1e83d0a" updatedVersion="8" minRefreshableVersion="3" subtotalHiddenItems="1" itemPrintTitles="1" createdVersion="5" indent="0" outline="1" outlineData="1" multipleFieldFilters="0" chartFormat="15">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7"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78B38-E7F0-4F41-822D-DFD34AD48404}" name="PivotTable2" cacheId="5" applyNumberFormats="0" applyBorderFormats="0" applyFontFormats="0" applyPatternFormats="0" applyAlignmentFormats="0" applyWidthHeightFormats="1" dataCaption="Values" tag="4c90adbd-471b-4400-b318-61b3a1e83d0a" updatedVersion="8" minRefreshableVersion="3" subtotalHiddenItems="1" itemPrintTitles="1" createdVersion="5" indent="0" outline="1" outlineData="1" multipleFieldFilters="0" chartFormat="25">
  <location ref="F4:G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5">
      <pivotArea collapsedLevelsAreSubtotals="1" fieldPosition="0">
        <references count="1">
          <reference field="0" count="1">
            <x v="31"/>
          </reference>
        </references>
      </pivotArea>
    </format>
    <format dxfId="4">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1A2BE9-88A3-4AF4-9B9D-1798747D955C}" name="PivotTable6" cacheId="9" applyNumberFormats="0" applyBorderFormats="0" applyFontFormats="0" applyPatternFormats="0" applyAlignmentFormats="0" applyWidthHeightFormats="1" dataCaption="Values" tag="4c90adbd-471b-4400-b318-61b3a1e83d0a" updatedVersion="8" minRefreshableVersion="3" subtotalHiddenItems="1" itemPrintTitles="1" createdVersion="5" indent="0" outline="1" outlineData="1" multipleFieldFilters="0" chartFormat="30">
  <location ref="I4:J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7">
      <pivotArea collapsedLevelsAreSubtotals="1" fieldPosition="0">
        <references count="1">
          <reference field="0" count="1">
            <x v="31"/>
          </reference>
        </references>
      </pivotArea>
    </format>
    <format dxfId="6">
      <pivotArea outline="0" collapsedLevelsAreSubtotals="1" fieldPosition="0"/>
    </format>
  </formats>
  <chartFormats count="2">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F06543-F34E-46C7-AAB6-8D2FC8C0FD0E}" name="PivotTable4" cacheId="7" applyNumberFormats="0" applyBorderFormats="0" applyFontFormats="0" applyPatternFormats="0" applyAlignmentFormats="0" applyWidthHeightFormats="1" dataCaption="Values" tag="b8f3589c-d3f8-4ddf-9d59-b909587fc864"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F5730D-B4F2-4D8A-9963-89AEA5D60C27}" name="PivotTable11" cacheId="3" applyNumberFormats="0" applyBorderFormats="0" applyFontFormats="0" applyPatternFormats="0" applyAlignmentFormats="0" applyWidthHeightFormats="1" dataCaption="Values" tag="b8f3589c-d3f8-4ddf-9d59-b909587fc864" updatedVersion="8" minRefreshableVersion="3" subtotalHiddenItems="1" itemPrintTitles="1" createdVersion="5" indent="0" outline="1" outlineData="1" multipleFieldFilters="0" chartFormat="35">
  <location ref="D58:E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9">
      <pivotArea outline="0" collapsedLevelsAreSubtotals="1" fieldPosition="0"/>
    </format>
  </formats>
  <chartFormats count="3">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1" count="1" selected="0">
            <x v="0"/>
          </reference>
        </references>
      </pivotArea>
    </chartFormat>
    <chartFormat chart="32"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30B104-A8A9-4BBF-8277-9C8A8F078924}" name="PivotTable10" cacheId="2" applyNumberFormats="0" applyBorderFormats="0" applyFontFormats="0" applyPatternFormats="0" applyAlignmentFormats="0" applyWidthHeightFormats="1" dataCaption="Values" tag="b8f3589c-d3f8-4ddf-9d59-b909587fc864" updatedVersion="8" minRefreshableVersion="3" subtotalHiddenItems="1" itemPrintTitles="1" createdVersion="5" indent="0" outline="1" outlineData="1" multipleFieldFilters="0" chartFormat="30">
  <location ref="D49:E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0">
      <pivotArea outline="0" collapsedLevelsAreSubtotals="1" fieldPosition="0"/>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5E8A48-190E-41E6-AA64-F1709AC59492}" name="PivotTable13" cacheId="0" applyNumberFormats="0" applyBorderFormats="0" applyFontFormats="0" applyPatternFormats="0" applyAlignmentFormats="0" applyWidthHeightFormats="1" dataCaption="Values" tag="b8f3589c-d3f8-4ddf-9d59-b909587fc864" updatedVersion="8" minRefreshableVersion="3" subtotalHiddenItems="1" itemPrintTitles="1" createdVersion="5" indent="0" outline="1" outlineData="1" multipleFieldFilters="0" chartFormat="39">
  <location ref="F64:F6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
      <pivotArea outline="0" collapsedLevelsAreSubtotals="1" fieldPosition="0"/>
    </format>
  </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D3E3C0-0084-4611-A84A-0C7CAF7AD47A}" name="PivotTable9" cacheId="11" applyNumberFormats="0" applyBorderFormats="0" applyFontFormats="0" applyPatternFormats="0" applyAlignmentFormats="0" applyWidthHeightFormats="1" dataCaption="Values" tag="b8f3589c-d3f8-4ddf-9d59-b909587fc864" updatedVersion="8" minRefreshableVersion="3" subtotalHiddenItems="1" itemPrintTitles="1" createdVersion="5" indent="0" outline="1" outlineData="1" multipleFieldFilters="0" chartFormat="23">
  <location ref="A49: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2">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9640D4-EE77-4592-AA67-4B8497CE84C6}" name="PivotTable8" cacheId="10" applyNumberFormats="0" applyBorderFormats="0" applyFontFormats="0" applyPatternFormats="0" applyAlignmentFormats="0" applyWidthHeightFormats="1" dataCaption="Values" tag="b8f3589c-d3f8-4ddf-9d59-b909587fc864" updatedVersion="8" minRefreshableVersion="3" subtotalHiddenItems="1" itemPrintTitles="1" createdVersion="5" indent="0" outline="1" outlineData="1" multipleFieldFilters="0" chartFormat="16">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4">
      <pivotArea outline="0" collapsedLevelsAreSubtotals="1" fieldPosition="0"/>
    </format>
    <format dxfId="13">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1"/>
          </reference>
          <reference field="1" count="1" selected="0">
            <x v="1"/>
          </reference>
        </references>
      </pivotArea>
    </chartFormat>
    <chartFormat chart="0" format="5">
      <pivotArea type="data" outline="0" fieldPosition="0">
        <references count="2">
          <reference field="4294967294" count="1" selected="0">
            <x v="1"/>
          </reference>
          <reference field="1"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D3ED47-DC42-4A90-96F2-2F06D261408C}" name="PivotTable3" cacheId="6" applyNumberFormats="0" applyBorderFormats="0" applyFontFormats="0" applyPatternFormats="0" applyAlignmentFormats="0" applyWidthHeightFormats="1" dataCaption="Values" tag="31c0e82a-9459-4e91-9d22-576695c96e3b"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6"/>
  </dataFields>
  <formats count="1">
    <format dxfId="1">
      <pivotArea outline="0" collapsedLevelsAreSubtotals="1" fieldPosition="0"/>
    </format>
  </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0CAC3A1-B453-487E-9126-D8E15C48FB65}" sourceName="[Calendar_Table].[Date (Month)]">
  <pivotTables>
    <pivotTable tabId="1" name="PivotTable5"/>
    <pivotTable tabId="1" name="PivotTable1"/>
    <pivotTable tabId="1" name="PivotTable3"/>
    <pivotTable tabId="1" name="PivotTable4"/>
    <pivotTable tabId="1" name="PivotTable2"/>
    <pivotTable tabId="1" name="PivotTable6"/>
    <pivotTable tabId="1" name="PivotTable8"/>
    <pivotTable tabId="1" name="PivotTable9"/>
    <pivotTable tabId="1" name="PivotTable10"/>
    <pivotTable tabId="1" name="PivotTable11"/>
    <pivotTable tabId="1" name="PivotTable12"/>
    <pivotTable tabId="1" name="PivotTable13"/>
  </pivotTables>
  <data>
    <olap pivotCacheId="98528088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E847840-9767-4BFA-A1A4-1A3461B762FA}"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98528088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8BDC0E68-B175-4534-860F-7EF775B3DE66}" cache="Slicer_Date__Month" caption="Date (Month)" showCaption="0" level="1" style="MyStyle" rowHeight="137160"/>
  <slicer name="Date (Year)" xr10:uid="{B9C67736-C698-4D3D-8296-2ACA663F9580}" cache="Slicer_Date__Year" caption="Date (Year)" columnCount="2" showCaption="0" level="1" style="MyStyle" rowHeight="1371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0277-D180-45EC-8089-C9AD9CB1B732}">
  <dimension ref="A3:J73"/>
  <sheetViews>
    <sheetView zoomScale="115" zoomScaleNormal="115" workbookViewId="0">
      <selection activeCell="A12" sqref="A12"/>
    </sheetView>
  </sheetViews>
  <sheetFormatPr defaultRowHeight="14.4" x14ac:dyDescent="0.3"/>
  <cols>
    <col min="1" max="1" width="16.88671875" customWidth="1"/>
    <col min="2" max="2" width="11.5546875" customWidth="1"/>
    <col min="3" max="3" width="8.88671875" customWidth="1"/>
    <col min="4" max="4" width="25.21875" customWidth="1"/>
    <col min="6" max="6" width="12.44140625" bestFit="1" customWidth="1"/>
    <col min="7" max="7" width="23.33203125" bestFit="1" customWidth="1"/>
    <col min="9" max="9" width="12.44140625" bestFit="1" customWidth="1"/>
    <col min="10" max="10" width="24.44140625" bestFit="1" customWidth="1"/>
  </cols>
  <sheetData>
    <row r="3" spans="1:10" x14ac:dyDescent="0.3">
      <c r="C3" t="s">
        <v>5</v>
      </c>
      <c r="F3" t="s">
        <v>6</v>
      </c>
      <c r="I3" t="s">
        <v>7</v>
      </c>
    </row>
    <row r="4" spans="1:10" x14ac:dyDescent="0.3">
      <c r="A4" t="s">
        <v>0</v>
      </c>
      <c r="C4" s="1" t="s">
        <v>3</v>
      </c>
      <c r="D4" t="s">
        <v>0</v>
      </c>
      <c r="F4" s="1" t="s">
        <v>3</v>
      </c>
      <c r="G4" t="s">
        <v>1</v>
      </c>
      <c r="I4" s="1" t="s">
        <v>3</v>
      </c>
      <c r="J4" t="s">
        <v>2</v>
      </c>
    </row>
    <row r="5" spans="1:10" x14ac:dyDescent="0.3">
      <c r="A5">
        <v>488</v>
      </c>
      <c r="C5" s="4" t="s">
        <v>43</v>
      </c>
      <c r="D5">
        <v>17</v>
      </c>
      <c r="F5" s="4" t="s">
        <v>43</v>
      </c>
      <c r="G5" s="2">
        <v>36.941176470588232</v>
      </c>
      <c r="I5" s="4" t="s">
        <v>43</v>
      </c>
      <c r="J5" s="2">
        <v>4.125</v>
      </c>
    </row>
    <row r="6" spans="1:10" x14ac:dyDescent="0.3">
      <c r="C6" s="4" t="s">
        <v>44</v>
      </c>
      <c r="D6">
        <v>19</v>
      </c>
      <c r="F6" s="4" t="s">
        <v>44</v>
      </c>
      <c r="G6" s="2">
        <v>30.842105263157894</v>
      </c>
      <c r="I6" s="4" t="s">
        <v>44</v>
      </c>
      <c r="J6" s="2">
        <v>5.333333333333333</v>
      </c>
    </row>
    <row r="7" spans="1:10" x14ac:dyDescent="0.3">
      <c r="C7" s="4" t="s">
        <v>45</v>
      </c>
      <c r="D7">
        <v>12</v>
      </c>
      <c r="F7" s="4" t="s">
        <v>45</v>
      </c>
      <c r="G7" s="2">
        <v>31.833333333333332</v>
      </c>
      <c r="I7" s="4" t="s">
        <v>45</v>
      </c>
      <c r="J7" s="2">
        <v>4.75</v>
      </c>
    </row>
    <row r="8" spans="1:10" x14ac:dyDescent="0.3">
      <c r="A8" t="s">
        <v>1</v>
      </c>
      <c r="C8" s="4" t="s">
        <v>46</v>
      </c>
      <c r="D8">
        <v>9</v>
      </c>
      <c r="F8" s="4" t="s">
        <v>46</v>
      </c>
      <c r="G8" s="2">
        <v>33.777777777777779</v>
      </c>
      <c r="I8" s="4" t="s">
        <v>46</v>
      </c>
      <c r="J8" s="2">
        <v>2</v>
      </c>
    </row>
    <row r="9" spans="1:10" x14ac:dyDescent="0.3">
      <c r="A9" s="11">
        <v>35.19877049180328</v>
      </c>
      <c r="C9" s="4" t="s">
        <v>47</v>
      </c>
      <c r="D9">
        <v>15</v>
      </c>
      <c r="F9" s="4" t="s">
        <v>47</v>
      </c>
      <c r="G9" s="2">
        <v>30.466666666666665</v>
      </c>
      <c r="I9" s="4" t="s">
        <v>47</v>
      </c>
      <c r="J9" s="2">
        <v>8</v>
      </c>
    </row>
    <row r="10" spans="1:10" x14ac:dyDescent="0.3">
      <c r="C10" s="4" t="s">
        <v>48</v>
      </c>
      <c r="D10">
        <v>10</v>
      </c>
      <c r="F10" s="4" t="s">
        <v>48</v>
      </c>
      <c r="G10" s="2">
        <v>38.799999999999997</v>
      </c>
      <c r="I10" s="4" t="s">
        <v>48</v>
      </c>
      <c r="J10" s="2">
        <v>3.5</v>
      </c>
    </row>
    <row r="11" spans="1:10" x14ac:dyDescent="0.3">
      <c r="A11" t="s">
        <v>2</v>
      </c>
      <c r="C11" s="4" t="s">
        <v>49</v>
      </c>
      <c r="D11">
        <v>18</v>
      </c>
      <c r="F11" s="4" t="s">
        <v>49</v>
      </c>
      <c r="G11" s="2">
        <v>30.277777777777779</v>
      </c>
      <c r="I11" s="4" t="s">
        <v>49</v>
      </c>
      <c r="J11" s="2">
        <v>7</v>
      </c>
    </row>
    <row r="12" spans="1:10" x14ac:dyDescent="0.3">
      <c r="A12" s="2">
        <v>4.7876712328767121</v>
      </c>
      <c r="C12" s="4" t="s">
        <v>50</v>
      </c>
      <c r="D12">
        <v>19</v>
      </c>
      <c r="F12" s="4" t="s">
        <v>50</v>
      </c>
      <c r="G12" s="2">
        <v>35.157894736842103</v>
      </c>
      <c r="I12" s="4" t="s">
        <v>50</v>
      </c>
      <c r="J12" s="2">
        <v>3.5</v>
      </c>
    </row>
    <row r="13" spans="1:10" x14ac:dyDescent="0.3">
      <c r="C13" s="4" t="s">
        <v>51</v>
      </c>
      <c r="D13">
        <v>19</v>
      </c>
      <c r="F13" s="4" t="s">
        <v>51</v>
      </c>
      <c r="G13" s="2">
        <v>37.94736842105263</v>
      </c>
      <c r="I13" s="4" t="s">
        <v>51</v>
      </c>
      <c r="J13" s="2">
        <v>6.4</v>
      </c>
    </row>
    <row r="14" spans="1:10" x14ac:dyDescent="0.3">
      <c r="C14" s="4" t="s">
        <v>52</v>
      </c>
      <c r="D14">
        <v>13</v>
      </c>
      <c r="F14" s="4" t="s">
        <v>52</v>
      </c>
      <c r="G14" s="2">
        <v>33.92307692307692</v>
      </c>
      <c r="I14" s="4" t="s">
        <v>52</v>
      </c>
      <c r="J14" s="2">
        <v>3.5</v>
      </c>
    </row>
    <row r="15" spans="1:10" x14ac:dyDescent="0.3">
      <c r="C15" s="4" t="s">
        <v>53</v>
      </c>
      <c r="D15">
        <v>15</v>
      </c>
      <c r="F15" s="4" t="s">
        <v>53</v>
      </c>
      <c r="G15" s="2">
        <v>33.200000000000003</v>
      </c>
      <c r="I15" s="4" t="s">
        <v>53</v>
      </c>
      <c r="J15" s="2">
        <v>6.5</v>
      </c>
    </row>
    <row r="16" spans="1:10" x14ac:dyDescent="0.3">
      <c r="C16" s="4" t="s">
        <v>54</v>
      </c>
      <c r="D16">
        <v>25</v>
      </c>
      <c r="F16" s="4" t="s">
        <v>54</v>
      </c>
      <c r="G16" s="2">
        <v>40.159999999999997</v>
      </c>
      <c r="I16" s="4" t="s">
        <v>54</v>
      </c>
      <c r="J16" s="2">
        <v>5.2857142857142856</v>
      </c>
    </row>
    <row r="17" spans="3:10" x14ac:dyDescent="0.3">
      <c r="C17" s="4" t="s">
        <v>55</v>
      </c>
      <c r="D17">
        <v>19</v>
      </c>
      <c r="F17" s="4" t="s">
        <v>55</v>
      </c>
      <c r="G17" s="2">
        <v>41.578947368421055</v>
      </c>
      <c r="I17" s="4" t="s">
        <v>55</v>
      </c>
      <c r="J17" s="2">
        <v>4.333333333333333</v>
      </c>
    </row>
    <row r="18" spans="3:10" x14ac:dyDescent="0.3">
      <c r="C18" s="4" t="s">
        <v>56</v>
      </c>
      <c r="D18">
        <v>15</v>
      </c>
      <c r="F18" s="4" t="s">
        <v>56</v>
      </c>
      <c r="G18" s="2">
        <v>36.866666666666667</v>
      </c>
      <c r="I18" s="4" t="s">
        <v>56</v>
      </c>
      <c r="J18" s="2">
        <v>3</v>
      </c>
    </row>
    <row r="19" spans="3:10" x14ac:dyDescent="0.3">
      <c r="C19" s="4" t="s">
        <v>57</v>
      </c>
      <c r="D19">
        <v>14</v>
      </c>
      <c r="F19" s="4" t="s">
        <v>57</v>
      </c>
      <c r="G19" s="2">
        <v>33.714285714285715</v>
      </c>
      <c r="I19" s="4" t="s">
        <v>57</v>
      </c>
      <c r="J19" s="2">
        <v>4.333333333333333</v>
      </c>
    </row>
    <row r="20" spans="3:10" x14ac:dyDescent="0.3">
      <c r="C20" s="4" t="s">
        <v>58</v>
      </c>
      <c r="D20">
        <v>20</v>
      </c>
      <c r="F20" s="4" t="s">
        <v>58</v>
      </c>
      <c r="G20" s="2">
        <v>33.700000000000003</v>
      </c>
      <c r="I20" s="4" t="s">
        <v>58</v>
      </c>
      <c r="J20" s="2">
        <v>3.3333333333333335</v>
      </c>
    </row>
    <row r="21" spans="3:10" x14ac:dyDescent="0.3">
      <c r="C21" s="4" t="s">
        <v>59</v>
      </c>
      <c r="D21">
        <v>14</v>
      </c>
      <c r="F21" s="4" t="s">
        <v>59</v>
      </c>
      <c r="G21" s="2">
        <v>34.642857142857146</v>
      </c>
      <c r="I21" s="4" t="s">
        <v>59</v>
      </c>
      <c r="J21" s="2">
        <v>2.5714285714285716</v>
      </c>
    </row>
    <row r="22" spans="3:10" x14ac:dyDescent="0.3">
      <c r="C22" s="4" t="s">
        <v>60</v>
      </c>
      <c r="D22">
        <v>14</v>
      </c>
      <c r="F22" s="4" t="s">
        <v>60</v>
      </c>
      <c r="G22" s="2">
        <v>36.5</v>
      </c>
      <c r="I22" s="4" t="s">
        <v>60</v>
      </c>
      <c r="J22" s="2">
        <v>3.75</v>
      </c>
    </row>
    <row r="23" spans="3:10" x14ac:dyDescent="0.3">
      <c r="C23" s="4" t="s">
        <v>61</v>
      </c>
      <c r="D23">
        <v>17</v>
      </c>
      <c r="F23" s="4" t="s">
        <v>61</v>
      </c>
      <c r="G23" s="2">
        <v>33.058823529411768</v>
      </c>
      <c r="I23" s="4" t="s">
        <v>61</v>
      </c>
      <c r="J23" s="2">
        <v>8.3333333333333339</v>
      </c>
    </row>
    <row r="24" spans="3:10" x14ac:dyDescent="0.3">
      <c r="C24" s="4" t="s">
        <v>62</v>
      </c>
      <c r="D24">
        <v>16</v>
      </c>
      <c r="F24" s="4" t="s">
        <v>62</v>
      </c>
      <c r="G24" s="2">
        <v>33.5625</v>
      </c>
      <c r="I24" s="4" t="s">
        <v>62</v>
      </c>
      <c r="J24" s="2">
        <v>3.75</v>
      </c>
    </row>
    <row r="25" spans="3:10" x14ac:dyDescent="0.3">
      <c r="C25" s="4" t="s">
        <v>63</v>
      </c>
      <c r="D25">
        <v>18</v>
      </c>
      <c r="F25" s="4" t="s">
        <v>63</v>
      </c>
      <c r="G25" s="2">
        <v>31.555555555555557</v>
      </c>
      <c r="I25" s="4" t="s">
        <v>63</v>
      </c>
      <c r="J25" s="2">
        <v>4.666666666666667</v>
      </c>
    </row>
    <row r="26" spans="3:10" x14ac:dyDescent="0.3">
      <c r="C26" s="4" t="s">
        <v>64</v>
      </c>
      <c r="D26">
        <v>8</v>
      </c>
      <c r="F26" s="4" t="s">
        <v>64</v>
      </c>
      <c r="G26" s="2">
        <v>38.375</v>
      </c>
      <c r="I26" s="4" t="s">
        <v>64</v>
      </c>
      <c r="J26" s="2">
        <v>5</v>
      </c>
    </row>
    <row r="27" spans="3:10" x14ac:dyDescent="0.3">
      <c r="C27" s="4" t="s">
        <v>65</v>
      </c>
      <c r="D27">
        <v>17</v>
      </c>
      <c r="F27" s="4" t="s">
        <v>65</v>
      </c>
      <c r="G27" s="2">
        <v>35.411764705882355</v>
      </c>
      <c r="I27" s="4" t="s">
        <v>65</v>
      </c>
      <c r="J27" s="2">
        <v>4.333333333333333</v>
      </c>
    </row>
    <row r="28" spans="3:10" x14ac:dyDescent="0.3">
      <c r="C28" s="4" t="s">
        <v>66</v>
      </c>
      <c r="D28">
        <v>11</v>
      </c>
      <c r="F28" s="4" t="s">
        <v>66</v>
      </c>
      <c r="G28" s="2">
        <v>34.909090909090907</v>
      </c>
      <c r="I28" s="4" t="s">
        <v>66</v>
      </c>
      <c r="J28" s="2">
        <v>4.666666666666667</v>
      </c>
    </row>
    <row r="29" spans="3:10" x14ac:dyDescent="0.3">
      <c r="C29" s="4" t="s">
        <v>67</v>
      </c>
      <c r="D29">
        <v>15</v>
      </c>
      <c r="F29" s="4" t="s">
        <v>67</v>
      </c>
      <c r="G29" s="2">
        <v>35.133333333333333</v>
      </c>
      <c r="I29" s="4" t="s">
        <v>67</v>
      </c>
      <c r="J29" s="2">
        <v>4.5</v>
      </c>
    </row>
    <row r="30" spans="3:10" x14ac:dyDescent="0.3">
      <c r="C30" s="4" t="s">
        <v>68</v>
      </c>
      <c r="D30">
        <v>13</v>
      </c>
      <c r="F30" s="4" t="s">
        <v>68</v>
      </c>
      <c r="G30" s="2">
        <v>35.07692307692308</v>
      </c>
      <c r="I30" s="4" t="s">
        <v>68</v>
      </c>
      <c r="J30" s="2">
        <v>6</v>
      </c>
    </row>
    <row r="31" spans="3:10" x14ac:dyDescent="0.3">
      <c r="C31" s="4" t="s">
        <v>69</v>
      </c>
      <c r="D31">
        <v>17</v>
      </c>
      <c r="F31" s="4" t="s">
        <v>69</v>
      </c>
      <c r="G31" s="2">
        <v>35.352941176470587</v>
      </c>
      <c r="I31" s="4" t="s">
        <v>69</v>
      </c>
      <c r="J31" s="2">
        <v>6.8888888888888893</v>
      </c>
    </row>
    <row r="32" spans="3:10" x14ac:dyDescent="0.3">
      <c r="C32" s="4" t="s">
        <v>70</v>
      </c>
      <c r="D32">
        <v>20</v>
      </c>
      <c r="F32" s="4" t="s">
        <v>70</v>
      </c>
      <c r="G32" s="2">
        <v>36.6</v>
      </c>
      <c r="I32" s="4" t="s">
        <v>70</v>
      </c>
      <c r="J32" s="2">
        <v>6.5714285714285712</v>
      </c>
    </row>
    <row r="33" spans="1:10" x14ac:dyDescent="0.3">
      <c r="C33" s="4" t="s">
        <v>71</v>
      </c>
      <c r="D33">
        <v>20</v>
      </c>
      <c r="F33" s="4" t="s">
        <v>71</v>
      </c>
      <c r="G33" s="2">
        <v>35.799999999999997</v>
      </c>
      <c r="I33" s="4" t="s">
        <v>71</v>
      </c>
      <c r="J33" s="2">
        <v>4.0999999999999996</v>
      </c>
    </row>
    <row r="34" spans="1:10" x14ac:dyDescent="0.3">
      <c r="C34" s="4" t="s">
        <v>72</v>
      </c>
      <c r="D34">
        <v>13</v>
      </c>
      <c r="F34" s="4" t="s">
        <v>72</v>
      </c>
      <c r="G34" s="2">
        <v>30.307692307692307</v>
      </c>
      <c r="I34" s="4" t="s">
        <v>72</v>
      </c>
      <c r="J34" s="2">
        <v>5</v>
      </c>
    </row>
    <row r="35" spans="1:10" x14ac:dyDescent="0.3">
      <c r="C35" s="4" t="s">
        <v>73</v>
      </c>
      <c r="D35">
        <v>16</v>
      </c>
      <c r="F35" s="4" t="s">
        <v>73</v>
      </c>
      <c r="G35" s="2">
        <v>42.75</v>
      </c>
      <c r="I35" s="4" t="s">
        <v>73</v>
      </c>
      <c r="J35" s="2">
        <v>5.4</v>
      </c>
    </row>
    <row r="36" spans="1:10" x14ac:dyDescent="0.3">
      <c r="C36" s="4" t="s">
        <v>4</v>
      </c>
      <c r="D36">
        <v>488</v>
      </c>
      <c r="F36" s="4" t="s">
        <v>4</v>
      </c>
      <c r="G36" s="2">
        <v>35.19877049180328</v>
      </c>
      <c r="I36" s="4" t="s">
        <v>4</v>
      </c>
      <c r="J36" s="2">
        <v>4.7876712328767121</v>
      </c>
    </row>
    <row r="39" spans="1:10" x14ac:dyDescent="0.3">
      <c r="A39" s="1" t="s">
        <v>3</v>
      </c>
      <c r="B39" t="s">
        <v>12</v>
      </c>
      <c r="C39" t="s">
        <v>13</v>
      </c>
    </row>
    <row r="40" spans="1:10" x14ac:dyDescent="0.3">
      <c r="A40" s="4" t="s">
        <v>10</v>
      </c>
      <c r="B40" s="5">
        <v>266</v>
      </c>
      <c r="C40" s="6">
        <v>0.54508196721311475</v>
      </c>
    </row>
    <row r="41" spans="1:10" x14ac:dyDescent="0.3">
      <c r="A41" s="4" t="s">
        <v>11</v>
      </c>
      <c r="B41" s="5">
        <v>222</v>
      </c>
      <c r="C41" s="6">
        <v>0.45491803278688525</v>
      </c>
    </row>
    <row r="42" spans="1:10" x14ac:dyDescent="0.3">
      <c r="A42" s="4" t="s">
        <v>4</v>
      </c>
      <c r="B42" s="5">
        <v>488</v>
      </c>
      <c r="C42" s="6">
        <v>1</v>
      </c>
    </row>
    <row r="45" spans="1:10" x14ac:dyDescent="0.3">
      <c r="A45" s="10" t="s">
        <v>14</v>
      </c>
      <c r="B45" s="10" t="s">
        <v>16</v>
      </c>
      <c r="C45" s="10" t="s">
        <v>15</v>
      </c>
      <c r="D45" s="7"/>
    </row>
    <row r="46" spans="1:10" x14ac:dyDescent="0.3">
      <c r="A46" s="8" t="str">
        <f>A41</f>
        <v>Not Admitted</v>
      </c>
      <c r="B46" s="8">
        <f>B41</f>
        <v>222</v>
      </c>
      <c r="C46" s="9">
        <f>C41</f>
        <v>0.45491803278688525</v>
      </c>
      <c r="D46" s="8"/>
    </row>
    <row r="47" spans="1:10" x14ac:dyDescent="0.3">
      <c r="A47" s="8" t="str">
        <f>A40</f>
        <v>Admitted</v>
      </c>
      <c r="B47" s="8">
        <f>B40</f>
        <v>266</v>
      </c>
      <c r="C47" s="9">
        <f>C40</f>
        <v>0.54508196721311475</v>
      </c>
      <c r="D47" s="8"/>
    </row>
    <row r="48" spans="1:10" x14ac:dyDescent="0.3">
      <c r="A48" t="s">
        <v>26</v>
      </c>
      <c r="D48" t="s">
        <v>28</v>
      </c>
    </row>
    <row r="49" spans="1:6" x14ac:dyDescent="0.3">
      <c r="A49" s="1" t="s">
        <v>3</v>
      </c>
      <c r="B49" t="s">
        <v>25</v>
      </c>
      <c r="D49" s="1" t="s">
        <v>3</v>
      </c>
      <c r="E49" t="s">
        <v>27</v>
      </c>
    </row>
    <row r="50" spans="1:6" x14ac:dyDescent="0.3">
      <c r="A50" s="4" t="s">
        <v>17</v>
      </c>
      <c r="B50" s="5">
        <v>53</v>
      </c>
      <c r="D50" s="4" t="s">
        <v>8</v>
      </c>
      <c r="E50" s="5">
        <v>288</v>
      </c>
    </row>
    <row r="51" spans="1:6" x14ac:dyDescent="0.3">
      <c r="A51" s="4" t="s">
        <v>18</v>
      </c>
      <c r="B51" s="5">
        <v>79</v>
      </c>
      <c r="D51" s="4" t="s">
        <v>9</v>
      </c>
      <c r="E51" s="5">
        <v>200</v>
      </c>
    </row>
    <row r="52" spans="1:6" x14ac:dyDescent="0.3">
      <c r="A52" s="4" t="s">
        <v>19</v>
      </c>
      <c r="B52" s="5">
        <v>48</v>
      </c>
      <c r="D52" s="4" t="s">
        <v>4</v>
      </c>
      <c r="E52" s="5">
        <v>488</v>
      </c>
    </row>
    <row r="53" spans="1:6" x14ac:dyDescent="0.3">
      <c r="A53" s="4" t="s">
        <v>20</v>
      </c>
      <c r="B53" s="5">
        <v>47</v>
      </c>
    </row>
    <row r="54" spans="1:6" x14ac:dyDescent="0.3">
      <c r="A54" s="4" t="s">
        <v>21</v>
      </c>
      <c r="B54" s="5">
        <v>65</v>
      </c>
    </row>
    <row r="55" spans="1:6" x14ac:dyDescent="0.3">
      <c r="A55" s="4" t="s">
        <v>22</v>
      </c>
      <c r="B55" s="5">
        <v>72</v>
      </c>
    </row>
    <row r="56" spans="1:6" x14ac:dyDescent="0.3">
      <c r="A56" s="4" t="s">
        <v>23</v>
      </c>
      <c r="B56" s="5">
        <v>60</v>
      </c>
    </row>
    <row r="57" spans="1:6" x14ac:dyDescent="0.3">
      <c r="A57" s="4" t="s">
        <v>24</v>
      </c>
      <c r="B57" s="5">
        <v>64</v>
      </c>
      <c r="D57" t="s">
        <v>32</v>
      </c>
    </row>
    <row r="58" spans="1:6" x14ac:dyDescent="0.3">
      <c r="A58" s="4" t="s">
        <v>4</v>
      </c>
      <c r="B58" s="5">
        <v>488</v>
      </c>
      <c r="D58" s="1" t="s">
        <v>3</v>
      </c>
      <c r="E58" t="s">
        <v>31</v>
      </c>
    </row>
    <row r="59" spans="1:6" x14ac:dyDescent="0.3">
      <c r="D59" s="4" t="s">
        <v>29</v>
      </c>
      <c r="E59" s="5">
        <v>232</v>
      </c>
    </row>
    <row r="60" spans="1:6" x14ac:dyDescent="0.3">
      <c r="D60" s="4" t="s">
        <v>30</v>
      </c>
      <c r="E60" s="5">
        <v>256</v>
      </c>
    </row>
    <row r="61" spans="1:6" x14ac:dyDescent="0.3">
      <c r="D61" s="4" t="s">
        <v>4</v>
      </c>
      <c r="E61" s="5">
        <v>488</v>
      </c>
    </row>
    <row r="64" spans="1:6" x14ac:dyDescent="0.3">
      <c r="A64" s="1" t="s">
        <v>3</v>
      </c>
      <c r="B64" t="s">
        <v>41</v>
      </c>
      <c r="F64" s="1" t="s">
        <v>3</v>
      </c>
    </row>
    <row r="65" spans="1:6" x14ac:dyDescent="0.3">
      <c r="A65" s="4" t="s">
        <v>40</v>
      </c>
      <c r="B65" s="5">
        <v>4</v>
      </c>
      <c r="F65" s="4" t="s">
        <v>42</v>
      </c>
    </row>
    <row r="66" spans="1:6" x14ac:dyDescent="0.3">
      <c r="A66" s="4" t="s">
        <v>36</v>
      </c>
      <c r="B66" s="5">
        <v>7</v>
      </c>
      <c r="F66" s="4" t="s">
        <v>4</v>
      </c>
    </row>
    <row r="67" spans="1:6" x14ac:dyDescent="0.3">
      <c r="A67" s="4" t="s">
        <v>33</v>
      </c>
      <c r="B67" s="5">
        <v>11</v>
      </c>
    </row>
    <row r="68" spans="1:6" x14ac:dyDescent="0.3">
      <c r="A68" s="4" t="s">
        <v>34</v>
      </c>
      <c r="B68" s="5">
        <v>11</v>
      </c>
    </row>
    <row r="69" spans="1:6" x14ac:dyDescent="0.3">
      <c r="A69" s="4" t="s">
        <v>39</v>
      </c>
      <c r="B69" s="5">
        <v>12</v>
      </c>
    </row>
    <row r="70" spans="1:6" x14ac:dyDescent="0.3">
      <c r="A70" s="4" t="s">
        <v>38</v>
      </c>
      <c r="B70" s="5">
        <v>60</v>
      </c>
    </row>
    <row r="71" spans="1:6" x14ac:dyDescent="0.3">
      <c r="A71" s="4" t="s">
        <v>35</v>
      </c>
      <c r="B71" s="5">
        <v>93</v>
      </c>
    </row>
    <row r="72" spans="1:6" x14ac:dyDescent="0.3">
      <c r="A72" s="4" t="s">
        <v>37</v>
      </c>
      <c r="B72" s="5">
        <v>290</v>
      </c>
    </row>
    <row r="73" spans="1:6" x14ac:dyDescent="0.3">
      <c r="A73" s="4" t="s">
        <v>4</v>
      </c>
      <c r="B73" s="5">
        <v>488</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8AD20-E429-4D67-940F-CE1B92CEC74E}">
  <dimension ref="A1:X37"/>
  <sheetViews>
    <sheetView tabSelected="1" zoomScale="175" zoomScaleNormal="175" workbookViewId="0">
      <selection activeCell="G18" sqref="G18"/>
    </sheetView>
  </sheetViews>
  <sheetFormatPr defaultRowHeight="14.4" x14ac:dyDescent="0.3"/>
  <sheetData>
    <row r="1" spans="1:24" x14ac:dyDescent="0.3">
      <c r="A1" s="3"/>
      <c r="B1" s="3"/>
      <c r="C1" s="3"/>
      <c r="D1" s="3"/>
      <c r="E1" s="3"/>
      <c r="F1" s="3"/>
      <c r="G1" s="3"/>
      <c r="H1" s="3"/>
      <c r="I1" s="3"/>
      <c r="J1" s="3"/>
      <c r="K1" s="3"/>
      <c r="L1" s="3"/>
      <c r="M1" s="3"/>
      <c r="N1" s="3"/>
      <c r="O1" s="3"/>
      <c r="P1" s="3"/>
      <c r="Q1" s="3"/>
      <c r="R1" s="3"/>
      <c r="S1" s="3"/>
      <c r="T1" s="3"/>
      <c r="U1" s="3"/>
      <c r="V1" s="3"/>
      <c r="W1" s="3"/>
      <c r="X1" s="3"/>
    </row>
    <row r="2" spans="1:24" x14ac:dyDescent="0.3">
      <c r="A2" s="3"/>
      <c r="B2" s="3"/>
      <c r="C2" s="3"/>
      <c r="D2" s="3"/>
      <c r="E2" s="3"/>
      <c r="F2" s="3"/>
      <c r="G2" s="3"/>
      <c r="H2" s="3"/>
      <c r="I2" s="3"/>
      <c r="J2" s="3"/>
      <c r="K2" s="3"/>
      <c r="L2" s="3"/>
      <c r="M2" s="3"/>
      <c r="N2" s="3"/>
      <c r="O2" s="3"/>
      <c r="P2" s="3"/>
      <c r="Q2" s="3"/>
      <c r="R2" s="3"/>
      <c r="S2" s="3"/>
      <c r="T2" s="3"/>
      <c r="U2" s="3"/>
      <c r="V2" s="3"/>
      <c r="W2" s="3"/>
      <c r="X2" s="3"/>
    </row>
    <row r="3" spans="1:24" x14ac:dyDescent="0.3">
      <c r="A3" s="3"/>
      <c r="B3" s="3"/>
      <c r="C3" s="3"/>
      <c r="D3" s="3"/>
      <c r="E3" s="3"/>
      <c r="F3" s="3"/>
      <c r="G3" s="3"/>
      <c r="H3" s="3"/>
      <c r="I3" s="3"/>
      <c r="J3" s="3"/>
      <c r="K3" s="3"/>
      <c r="L3" s="3"/>
      <c r="M3" s="3"/>
      <c r="N3" s="3"/>
      <c r="O3" s="3"/>
      <c r="P3" s="3"/>
      <c r="Q3" s="3"/>
      <c r="R3" s="3"/>
      <c r="S3" s="3"/>
      <c r="T3" s="3"/>
      <c r="U3" s="3"/>
      <c r="V3" s="3"/>
      <c r="W3" s="3"/>
      <c r="X3" s="3"/>
    </row>
    <row r="4" spans="1:24" x14ac:dyDescent="0.3">
      <c r="A4" s="3"/>
      <c r="B4" s="3"/>
      <c r="C4" s="3"/>
      <c r="D4" s="3"/>
      <c r="E4" s="3"/>
      <c r="F4" s="3"/>
      <c r="G4" s="3"/>
      <c r="H4" s="3"/>
      <c r="I4" s="3"/>
      <c r="J4" s="3"/>
      <c r="K4" s="3"/>
      <c r="L4" s="3"/>
      <c r="M4" s="3"/>
      <c r="N4" s="3"/>
      <c r="O4" s="3"/>
      <c r="P4" s="3"/>
      <c r="Q4" s="3"/>
      <c r="R4" s="3"/>
      <c r="S4" s="3"/>
      <c r="T4" s="3"/>
      <c r="U4" s="3"/>
      <c r="V4" s="3"/>
      <c r="W4" s="3"/>
      <c r="X4" s="3"/>
    </row>
    <row r="5" spans="1:24" x14ac:dyDescent="0.3">
      <c r="A5" s="3"/>
      <c r="B5" s="3"/>
      <c r="C5" s="3"/>
      <c r="D5" s="3"/>
      <c r="E5" s="3"/>
      <c r="F5" s="3"/>
      <c r="G5" s="3"/>
      <c r="H5" s="3"/>
      <c r="I5" s="3"/>
      <c r="J5" s="3"/>
      <c r="K5" s="3"/>
      <c r="L5" s="3"/>
      <c r="M5" s="3"/>
      <c r="N5" s="3"/>
      <c r="O5" s="3"/>
      <c r="P5" s="3"/>
      <c r="Q5" s="3"/>
      <c r="R5" s="3"/>
      <c r="S5" s="3"/>
      <c r="T5" s="3"/>
      <c r="U5" s="3"/>
      <c r="V5" s="3"/>
      <c r="W5" s="3"/>
      <c r="X5" s="3"/>
    </row>
    <row r="6" spans="1:24" x14ac:dyDescent="0.3">
      <c r="A6" s="3"/>
      <c r="B6" s="3"/>
      <c r="C6" s="3"/>
      <c r="D6" s="3"/>
      <c r="E6" s="3"/>
      <c r="F6" s="3"/>
      <c r="G6" s="3"/>
      <c r="H6" s="3"/>
      <c r="I6" s="3"/>
      <c r="J6" s="3"/>
      <c r="K6" s="3"/>
      <c r="L6" s="3"/>
      <c r="M6" s="3"/>
      <c r="N6" s="3"/>
      <c r="O6" s="3"/>
      <c r="P6" s="3"/>
      <c r="Q6" s="3"/>
      <c r="R6" s="3"/>
      <c r="S6" s="3"/>
      <c r="T6" s="3"/>
      <c r="U6" s="3"/>
      <c r="V6" s="3"/>
      <c r="W6" s="3"/>
      <c r="X6" s="3"/>
    </row>
    <row r="7" spans="1:24" x14ac:dyDescent="0.3">
      <c r="A7" s="3"/>
      <c r="B7" s="3"/>
      <c r="C7" s="3"/>
      <c r="D7" s="3"/>
      <c r="E7" s="3"/>
      <c r="F7" s="3"/>
      <c r="G7" s="3"/>
      <c r="H7" s="3"/>
      <c r="I7" s="3"/>
      <c r="J7" s="3"/>
      <c r="K7" s="3"/>
      <c r="L7" s="3"/>
      <c r="M7" s="3"/>
      <c r="N7" s="3"/>
      <c r="O7" s="3"/>
      <c r="P7" s="3"/>
      <c r="Q7" s="3"/>
      <c r="R7" s="3"/>
      <c r="S7" s="3"/>
      <c r="T7" s="3"/>
      <c r="U7" s="3"/>
      <c r="V7" s="3"/>
      <c r="W7" s="3"/>
      <c r="X7" s="3"/>
    </row>
    <row r="8" spans="1:24" x14ac:dyDescent="0.3">
      <c r="A8" s="3"/>
      <c r="B8" s="3"/>
      <c r="C8" s="3"/>
      <c r="D8" s="3"/>
      <c r="E8" s="3"/>
      <c r="F8" s="3"/>
      <c r="G8" s="3"/>
      <c r="H8" s="3"/>
      <c r="I8" s="3"/>
      <c r="J8" s="3"/>
      <c r="K8" s="3"/>
      <c r="L8" s="3"/>
      <c r="M8" s="3"/>
      <c r="N8" s="3"/>
      <c r="O8" s="3"/>
      <c r="P8" s="3"/>
      <c r="Q8" s="3"/>
      <c r="R8" s="3"/>
      <c r="S8" s="3"/>
      <c r="T8" s="3"/>
      <c r="U8" s="3"/>
      <c r="V8" s="3"/>
      <c r="W8" s="3"/>
      <c r="X8" s="3"/>
    </row>
    <row r="9" spans="1:24" x14ac:dyDescent="0.3">
      <c r="A9" s="3"/>
      <c r="B9" s="3"/>
      <c r="C9" s="3"/>
      <c r="D9" s="3"/>
      <c r="E9" s="3"/>
      <c r="F9" s="3"/>
      <c r="G9" s="3"/>
      <c r="H9" s="3"/>
      <c r="I9" s="3"/>
      <c r="J9" s="3"/>
      <c r="K9" s="3"/>
      <c r="L9" s="3"/>
      <c r="M9" s="3"/>
      <c r="N9" s="3"/>
      <c r="O9" s="3"/>
      <c r="P9" s="3"/>
      <c r="Q9" s="3"/>
      <c r="R9" s="3"/>
      <c r="S9" s="3"/>
      <c r="T9" s="3"/>
      <c r="U9" s="3"/>
      <c r="V9" s="3"/>
      <c r="W9" s="3"/>
      <c r="X9" s="3"/>
    </row>
    <row r="10" spans="1:24" x14ac:dyDescent="0.3">
      <c r="A10" s="3"/>
      <c r="B10" s="3"/>
      <c r="C10" s="3"/>
      <c r="D10" s="3"/>
      <c r="E10" s="3"/>
      <c r="F10" s="3"/>
      <c r="G10" s="3"/>
      <c r="H10" s="3"/>
      <c r="I10" s="3"/>
      <c r="J10" s="3"/>
      <c r="K10" s="3"/>
      <c r="L10" s="3"/>
      <c r="M10" s="3"/>
      <c r="N10" s="3"/>
      <c r="O10" s="3"/>
      <c r="P10" s="3"/>
      <c r="Q10" s="3"/>
      <c r="R10" s="3"/>
      <c r="S10" s="3"/>
      <c r="T10" s="3"/>
      <c r="U10" s="3"/>
      <c r="V10" s="3"/>
      <c r="W10" s="3"/>
      <c r="X10" s="3"/>
    </row>
    <row r="11" spans="1:24" x14ac:dyDescent="0.3">
      <c r="A11" s="3"/>
      <c r="B11" s="3"/>
      <c r="C11" s="3"/>
      <c r="D11" s="3"/>
      <c r="E11" s="3"/>
      <c r="F11" s="3"/>
      <c r="G11" s="3"/>
      <c r="H11" s="3"/>
      <c r="I11" s="3"/>
      <c r="J11" s="3"/>
      <c r="K11" s="3"/>
      <c r="L11" s="3"/>
      <c r="M11" s="3"/>
      <c r="N11" s="3"/>
      <c r="O11" s="3"/>
      <c r="P11" s="3"/>
      <c r="Q11" s="3"/>
      <c r="R11" s="3"/>
      <c r="S11" s="3"/>
      <c r="T11" s="3"/>
      <c r="U11" s="3"/>
      <c r="V11" s="3"/>
      <c r="W11" s="3"/>
      <c r="X11" s="3"/>
    </row>
    <row r="12" spans="1:24" x14ac:dyDescent="0.3">
      <c r="A12" s="3"/>
      <c r="B12" s="3"/>
      <c r="C12" s="3"/>
      <c r="D12" s="3"/>
      <c r="E12" s="3"/>
      <c r="F12" s="3"/>
      <c r="G12" s="3"/>
      <c r="H12" s="3"/>
      <c r="I12" s="3"/>
      <c r="J12" s="3"/>
      <c r="K12" s="3"/>
      <c r="L12" s="3"/>
      <c r="M12" s="3"/>
      <c r="N12" s="3"/>
      <c r="O12" s="3"/>
      <c r="P12" s="3"/>
      <c r="Q12" s="3"/>
      <c r="R12" s="3"/>
      <c r="S12" s="3"/>
      <c r="T12" s="3"/>
      <c r="U12" s="3"/>
      <c r="V12" s="3"/>
      <c r="W12" s="3"/>
      <c r="X12" s="3"/>
    </row>
    <row r="13" spans="1:24" x14ac:dyDescent="0.3">
      <c r="A13" s="3"/>
      <c r="B13" s="3"/>
      <c r="C13" s="3"/>
      <c r="D13" s="3"/>
      <c r="E13" s="3"/>
      <c r="F13" s="3"/>
      <c r="G13" s="3"/>
      <c r="H13" s="3"/>
      <c r="I13" s="3"/>
      <c r="J13" s="3"/>
      <c r="K13" s="3"/>
      <c r="L13" s="3"/>
      <c r="M13" s="3"/>
      <c r="N13" s="3"/>
      <c r="O13" s="3"/>
      <c r="P13" s="3"/>
      <c r="Q13" s="3"/>
      <c r="R13" s="3"/>
      <c r="S13" s="3"/>
      <c r="T13" s="3"/>
      <c r="U13" s="3"/>
      <c r="V13" s="3"/>
      <c r="W13" s="3"/>
      <c r="X13" s="3"/>
    </row>
    <row r="14" spans="1:24" x14ac:dyDescent="0.3">
      <c r="A14" s="3"/>
      <c r="B14" s="3"/>
      <c r="C14" s="3"/>
      <c r="D14" s="3"/>
      <c r="E14" s="3"/>
      <c r="F14" s="3"/>
      <c r="G14" s="3"/>
      <c r="H14" s="3"/>
      <c r="I14" s="3"/>
      <c r="J14" s="3"/>
      <c r="K14" s="3"/>
      <c r="L14" s="3"/>
      <c r="M14" s="3"/>
      <c r="N14" s="3"/>
      <c r="O14" s="3"/>
      <c r="P14" s="3"/>
      <c r="Q14" s="3"/>
      <c r="R14" s="3"/>
      <c r="S14" s="3"/>
      <c r="T14" s="3"/>
      <c r="U14" s="3"/>
      <c r="V14" s="3"/>
      <c r="W14" s="3"/>
      <c r="X14" s="3"/>
    </row>
    <row r="15" spans="1:24" x14ac:dyDescent="0.3">
      <c r="A15" s="3"/>
      <c r="B15" s="3"/>
      <c r="C15" s="3"/>
      <c r="D15" s="3"/>
      <c r="E15" s="3"/>
      <c r="F15" s="3"/>
      <c r="G15" s="3"/>
      <c r="H15" s="3"/>
      <c r="I15" s="3"/>
      <c r="J15" s="3"/>
      <c r="K15" s="3"/>
      <c r="L15" s="3"/>
      <c r="M15" s="3"/>
      <c r="N15" s="3"/>
      <c r="O15" s="3"/>
      <c r="P15" s="3"/>
      <c r="Q15" s="3"/>
      <c r="R15" s="3"/>
      <c r="S15" s="3"/>
      <c r="T15" s="3"/>
      <c r="U15" s="3"/>
      <c r="V15" s="3"/>
      <c r="W15" s="3"/>
      <c r="X15" s="3"/>
    </row>
    <row r="16" spans="1:24" x14ac:dyDescent="0.3">
      <c r="A16" s="3"/>
      <c r="B16" s="3"/>
      <c r="C16" s="3"/>
      <c r="D16" s="3"/>
      <c r="E16" s="3"/>
      <c r="F16" s="3"/>
      <c r="G16" s="3"/>
      <c r="H16" s="3"/>
      <c r="I16" s="3"/>
      <c r="J16" s="3"/>
      <c r="K16" s="3"/>
      <c r="L16" s="3"/>
      <c r="M16" s="3"/>
      <c r="N16" s="3"/>
      <c r="O16" s="3"/>
      <c r="P16" s="3"/>
      <c r="Q16" s="3"/>
      <c r="R16" s="3"/>
      <c r="S16" s="3"/>
      <c r="T16" s="3"/>
      <c r="U16" s="3"/>
      <c r="V16" s="3"/>
      <c r="W16" s="3"/>
      <c r="X16" s="3"/>
    </row>
    <row r="17" spans="1:24" x14ac:dyDescent="0.3">
      <c r="A17" s="3"/>
      <c r="B17" s="3"/>
      <c r="C17" s="3"/>
      <c r="D17" s="3"/>
      <c r="E17" s="3"/>
      <c r="F17" s="3"/>
      <c r="G17" s="3"/>
      <c r="H17" s="3"/>
      <c r="I17" s="3"/>
      <c r="J17" s="3"/>
      <c r="K17" s="3"/>
      <c r="L17" s="3"/>
      <c r="M17" s="3"/>
      <c r="N17" s="3"/>
      <c r="O17" s="3"/>
      <c r="P17" s="3"/>
      <c r="Q17" s="3"/>
      <c r="R17" s="3"/>
      <c r="S17" s="3"/>
      <c r="T17" s="3"/>
      <c r="U17" s="3"/>
      <c r="V17" s="3"/>
      <c r="W17" s="3"/>
      <c r="X17" s="3"/>
    </row>
    <row r="18" spans="1:24" x14ac:dyDescent="0.3">
      <c r="A18" s="3"/>
      <c r="B18" s="3"/>
      <c r="C18" s="3"/>
      <c r="D18" s="3"/>
      <c r="E18" s="3"/>
      <c r="F18" s="3"/>
      <c r="G18" s="3"/>
      <c r="H18" s="3"/>
      <c r="I18" s="3"/>
      <c r="J18" s="3"/>
      <c r="K18" s="3"/>
      <c r="L18" s="3"/>
      <c r="M18" s="3"/>
      <c r="N18" s="3"/>
      <c r="O18" s="3"/>
      <c r="P18" s="3"/>
      <c r="Q18" s="3"/>
      <c r="R18" s="3"/>
      <c r="S18" s="3"/>
      <c r="T18" s="3"/>
      <c r="U18" s="3"/>
      <c r="V18" s="3"/>
      <c r="W18" s="3"/>
      <c r="X18" s="3"/>
    </row>
    <row r="19" spans="1:24" x14ac:dyDescent="0.3">
      <c r="A19" s="3"/>
      <c r="B19" s="3"/>
      <c r="C19" s="3"/>
      <c r="D19" s="3"/>
      <c r="E19" s="3"/>
      <c r="F19" s="3"/>
      <c r="G19" s="3"/>
      <c r="H19" s="3"/>
      <c r="I19" s="3"/>
      <c r="J19" s="3"/>
      <c r="K19" s="3"/>
      <c r="L19" s="3"/>
      <c r="M19" s="3"/>
      <c r="N19" s="3"/>
      <c r="O19" s="3"/>
      <c r="P19" s="3"/>
      <c r="Q19" s="3"/>
      <c r="R19" s="3"/>
      <c r="S19" s="3"/>
      <c r="T19" s="3"/>
      <c r="U19" s="3"/>
      <c r="V19" s="3"/>
      <c r="W19" s="3"/>
      <c r="X19" s="3"/>
    </row>
    <row r="20" spans="1:24" x14ac:dyDescent="0.3">
      <c r="A20" s="3"/>
      <c r="B20" s="3"/>
      <c r="C20" s="3"/>
      <c r="D20" s="3"/>
      <c r="E20" s="3"/>
      <c r="F20" s="3"/>
      <c r="G20" s="3"/>
      <c r="H20" s="3"/>
      <c r="I20" s="3"/>
      <c r="J20" s="3"/>
      <c r="K20" s="3"/>
      <c r="L20" s="3"/>
      <c r="M20" s="3"/>
      <c r="N20" s="3"/>
      <c r="O20" s="3"/>
      <c r="P20" s="3"/>
      <c r="Q20" s="3"/>
      <c r="R20" s="3"/>
      <c r="S20" s="3"/>
      <c r="T20" s="3"/>
      <c r="U20" s="3"/>
      <c r="V20" s="3"/>
      <c r="W20" s="3"/>
      <c r="X20" s="3"/>
    </row>
    <row r="21" spans="1:24" x14ac:dyDescent="0.3">
      <c r="A21" s="3"/>
      <c r="B21" s="3"/>
      <c r="C21" s="3"/>
      <c r="D21" s="3"/>
      <c r="E21" s="3"/>
      <c r="F21" s="3"/>
      <c r="G21" s="3"/>
      <c r="H21" s="3"/>
      <c r="I21" s="3"/>
      <c r="J21" s="3"/>
      <c r="K21" s="3"/>
      <c r="L21" s="3"/>
      <c r="M21" s="3"/>
      <c r="N21" s="3"/>
      <c r="O21" s="3"/>
      <c r="P21" s="3"/>
      <c r="Q21" s="3"/>
      <c r="R21" s="3"/>
      <c r="S21" s="3"/>
      <c r="T21" s="3"/>
      <c r="U21" s="3"/>
      <c r="V21" s="3"/>
      <c r="W21" s="3"/>
      <c r="X21" s="3"/>
    </row>
    <row r="22" spans="1:24" x14ac:dyDescent="0.3">
      <c r="A22" s="3"/>
      <c r="B22" s="3"/>
      <c r="C22" s="3"/>
      <c r="D22" s="3"/>
      <c r="E22" s="3"/>
      <c r="F22" s="3"/>
      <c r="G22" s="3"/>
      <c r="H22" s="3"/>
      <c r="I22" s="3"/>
      <c r="J22" s="3"/>
      <c r="K22" s="3"/>
      <c r="L22" s="3"/>
      <c r="M22" s="3"/>
      <c r="N22" s="3"/>
      <c r="O22" s="3"/>
      <c r="P22" s="3"/>
      <c r="Q22" s="3"/>
      <c r="R22" s="3"/>
      <c r="S22" s="3"/>
      <c r="T22" s="3"/>
      <c r="U22" s="3"/>
      <c r="V22" s="3"/>
      <c r="W22" s="3"/>
      <c r="X22" s="3"/>
    </row>
    <row r="23" spans="1:24" x14ac:dyDescent="0.3">
      <c r="A23" s="3"/>
      <c r="B23" s="3"/>
      <c r="C23" s="3"/>
      <c r="D23" s="3"/>
      <c r="E23" s="3"/>
      <c r="F23" s="3"/>
      <c r="G23" s="3"/>
      <c r="H23" s="3"/>
      <c r="I23" s="3"/>
      <c r="J23" s="3"/>
      <c r="K23" s="3"/>
      <c r="L23" s="3"/>
      <c r="M23" s="3"/>
      <c r="N23" s="3"/>
      <c r="O23" s="3"/>
      <c r="P23" s="3"/>
      <c r="Q23" s="3"/>
      <c r="R23" s="3"/>
      <c r="S23" s="3"/>
      <c r="T23" s="3"/>
      <c r="U23" s="3"/>
      <c r="V23" s="3"/>
      <c r="W23" s="3"/>
      <c r="X23" s="3"/>
    </row>
    <row r="24" spans="1:24" x14ac:dyDescent="0.3">
      <c r="A24" s="3"/>
      <c r="B24" s="3"/>
      <c r="C24" s="3"/>
      <c r="D24" s="3"/>
      <c r="E24" s="3"/>
      <c r="F24" s="3"/>
      <c r="G24" s="3"/>
      <c r="H24" s="3"/>
      <c r="I24" s="3"/>
      <c r="J24" s="3"/>
      <c r="K24" s="3"/>
      <c r="L24" s="3"/>
      <c r="M24" s="3"/>
      <c r="N24" s="3"/>
      <c r="O24" s="3"/>
      <c r="P24" s="3"/>
      <c r="Q24" s="3"/>
      <c r="R24" s="3"/>
      <c r="S24" s="3"/>
      <c r="T24" s="3"/>
      <c r="U24" s="3"/>
      <c r="V24" s="3"/>
      <c r="W24" s="3"/>
      <c r="X24" s="3"/>
    </row>
    <row r="25" spans="1:24" x14ac:dyDescent="0.3">
      <c r="A25" s="3"/>
      <c r="B25" s="3"/>
      <c r="C25" s="3"/>
      <c r="D25" s="3"/>
      <c r="E25" s="3"/>
      <c r="F25" s="3"/>
      <c r="G25" s="3"/>
      <c r="H25" s="3"/>
      <c r="I25" s="3"/>
      <c r="J25" s="3"/>
      <c r="K25" s="3"/>
      <c r="L25" s="3"/>
      <c r="M25" s="3"/>
      <c r="N25" s="3"/>
      <c r="O25" s="3"/>
      <c r="P25" s="3"/>
      <c r="Q25" s="3"/>
      <c r="R25" s="3"/>
      <c r="S25" s="3"/>
      <c r="T25" s="3"/>
      <c r="U25" s="3"/>
      <c r="V25" s="3"/>
      <c r="W25" s="3"/>
      <c r="X25" s="3"/>
    </row>
    <row r="26" spans="1:24" x14ac:dyDescent="0.3">
      <c r="A26" s="3"/>
      <c r="B26" s="3"/>
      <c r="C26" s="3"/>
      <c r="D26" s="3"/>
      <c r="E26" s="3"/>
      <c r="F26" s="3"/>
      <c r="G26" s="3"/>
      <c r="H26" s="3"/>
      <c r="I26" s="3"/>
      <c r="J26" s="3"/>
      <c r="K26" s="3"/>
      <c r="L26" s="3"/>
      <c r="M26" s="3"/>
      <c r="N26" s="3"/>
      <c r="O26" s="3"/>
      <c r="P26" s="3"/>
      <c r="Q26" s="3"/>
      <c r="R26" s="3"/>
      <c r="S26" s="3"/>
      <c r="T26" s="3"/>
      <c r="U26" s="3"/>
      <c r="V26" s="3"/>
      <c r="W26" s="3"/>
      <c r="X26" s="3"/>
    </row>
    <row r="27" spans="1:24" x14ac:dyDescent="0.3">
      <c r="A27" s="3"/>
      <c r="B27" s="3"/>
      <c r="C27" s="3"/>
      <c r="D27" s="3"/>
      <c r="E27" s="3"/>
      <c r="F27" s="3"/>
      <c r="G27" s="3"/>
      <c r="H27" s="3"/>
      <c r="I27" s="3"/>
      <c r="J27" s="3"/>
      <c r="K27" s="3"/>
      <c r="L27" s="3"/>
      <c r="M27" s="3"/>
      <c r="N27" s="3"/>
      <c r="O27" s="3"/>
      <c r="P27" s="3"/>
      <c r="Q27" s="3"/>
      <c r="R27" s="3"/>
      <c r="S27" s="3"/>
      <c r="T27" s="3"/>
      <c r="U27" s="3"/>
      <c r="V27" s="3"/>
      <c r="W27" s="3"/>
      <c r="X27" s="3"/>
    </row>
    <row r="28" spans="1:24" x14ac:dyDescent="0.3">
      <c r="A28" s="3"/>
      <c r="B28" s="3"/>
      <c r="C28" s="3"/>
      <c r="D28" s="3"/>
      <c r="E28" s="3"/>
      <c r="F28" s="3"/>
      <c r="G28" s="3"/>
      <c r="H28" s="3"/>
      <c r="I28" s="3"/>
      <c r="J28" s="3"/>
      <c r="K28" s="3"/>
      <c r="L28" s="3"/>
      <c r="M28" s="3"/>
      <c r="N28" s="3"/>
      <c r="O28" s="3"/>
      <c r="P28" s="3"/>
      <c r="Q28" s="3"/>
      <c r="R28" s="3"/>
      <c r="S28" s="3"/>
      <c r="T28" s="3"/>
      <c r="U28" s="3"/>
      <c r="V28" s="3"/>
      <c r="W28" s="3"/>
      <c r="X28" s="3"/>
    </row>
    <row r="29" spans="1:24" x14ac:dyDescent="0.3">
      <c r="A29" s="3"/>
      <c r="B29" s="3"/>
      <c r="C29" s="3"/>
      <c r="D29" s="3"/>
      <c r="E29" s="3"/>
      <c r="F29" s="3"/>
      <c r="G29" s="3"/>
      <c r="H29" s="3"/>
      <c r="I29" s="3"/>
      <c r="J29" s="3"/>
      <c r="K29" s="3"/>
      <c r="L29" s="3"/>
      <c r="M29" s="3"/>
      <c r="N29" s="3"/>
      <c r="O29" s="3"/>
      <c r="P29" s="3"/>
      <c r="Q29" s="3"/>
      <c r="R29" s="3"/>
      <c r="S29" s="3"/>
      <c r="T29" s="3"/>
      <c r="U29" s="3"/>
      <c r="V29" s="3"/>
      <c r="W29" s="3"/>
      <c r="X29" s="3"/>
    </row>
    <row r="30" spans="1:24" x14ac:dyDescent="0.3">
      <c r="A30" s="3"/>
      <c r="B30" s="3"/>
      <c r="C30" s="3"/>
      <c r="D30" s="3"/>
      <c r="E30" s="3"/>
      <c r="F30" s="3"/>
      <c r="G30" s="3"/>
      <c r="H30" s="3"/>
      <c r="I30" s="3"/>
      <c r="J30" s="3"/>
      <c r="K30" s="3"/>
      <c r="L30" s="3"/>
      <c r="M30" s="3"/>
      <c r="N30" s="3"/>
      <c r="O30" s="3"/>
      <c r="P30" s="3"/>
      <c r="Q30" s="3"/>
      <c r="R30" s="3"/>
      <c r="S30" s="3"/>
      <c r="T30" s="3"/>
      <c r="U30" s="3"/>
      <c r="V30" s="3"/>
      <c r="W30" s="3"/>
      <c r="X30" s="3"/>
    </row>
    <row r="31" spans="1:24" x14ac:dyDescent="0.3">
      <c r="A31" s="3"/>
      <c r="B31" s="3"/>
      <c r="C31" s="3"/>
      <c r="D31" s="3"/>
      <c r="E31" s="3"/>
      <c r="F31" s="3"/>
      <c r="G31" s="3"/>
      <c r="H31" s="3"/>
      <c r="I31" s="3"/>
      <c r="J31" s="3"/>
      <c r="K31" s="3"/>
      <c r="L31" s="3"/>
      <c r="M31" s="3"/>
      <c r="N31" s="3"/>
      <c r="O31" s="3"/>
      <c r="P31" s="3"/>
      <c r="Q31" s="3"/>
      <c r="R31" s="3"/>
      <c r="S31" s="3"/>
      <c r="T31" s="3"/>
      <c r="U31" s="3"/>
      <c r="V31" s="3"/>
      <c r="W31" s="3"/>
      <c r="X31" s="3"/>
    </row>
    <row r="32" spans="1:24" x14ac:dyDescent="0.3">
      <c r="A32" s="3"/>
      <c r="B32" s="3"/>
      <c r="C32" s="3"/>
      <c r="D32" s="3"/>
      <c r="E32" s="3"/>
      <c r="F32" s="3"/>
      <c r="G32" s="3"/>
      <c r="H32" s="3"/>
      <c r="I32" s="3"/>
      <c r="J32" s="3"/>
      <c r="K32" s="3"/>
      <c r="L32" s="3"/>
      <c r="M32" s="3"/>
      <c r="N32" s="3"/>
      <c r="O32" s="3"/>
      <c r="P32" s="3"/>
      <c r="Q32" s="3"/>
      <c r="R32" s="3"/>
      <c r="S32" s="3"/>
      <c r="T32" s="3"/>
      <c r="U32" s="3"/>
      <c r="V32" s="3"/>
      <c r="W32" s="3"/>
      <c r="X32" s="3"/>
    </row>
    <row r="33" spans="1:24" x14ac:dyDescent="0.3">
      <c r="A33" s="3"/>
      <c r="B33" s="3"/>
      <c r="C33" s="3"/>
      <c r="D33" s="3"/>
      <c r="E33" s="3"/>
      <c r="F33" s="3"/>
      <c r="G33" s="3"/>
      <c r="H33" s="3"/>
      <c r="I33" s="3"/>
      <c r="J33" s="3"/>
      <c r="K33" s="3"/>
      <c r="L33" s="3"/>
      <c r="M33" s="3"/>
      <c r="N33" s="3"/>
      <c r="O33" s="3"/>
      <c r="P33" s="3"/>
      <c r="Q33" s="3"/>
      <c r="R33" s="3"/>
      <c r="S33" s="3"/>
      <c r="T33" s="3"/>
      <c r="U33" s="3"/>
      <c r="V33" s="3"/>
      <c r="W33" s="3"/>
      <c r="X33" s="3"/>
    </row>
    <row r="34" spans="1:24" x14ac:dyDescent="0.3">
      <c r="A34" s="3"/>
      <c r="B34" s="3"/>
      <c r="C34" s="3"/>
      <c r="D34" s="3"/>
      <c r="E34" s="3"/>
      <c r="F34" s="3"/>
      <c r="G34" s="3"/>
      <c r="H34" s="3"/>
      <c r="I34" s="3"/>
      <c r="J34" s="3"/>
      <c r="K34" s="3"/>
      <c r="L34" s="3"/>
      <c r="M34" s="3"/>
      <c r="N34" s="3"/>
      <c r="O34" s="3"/>
      <c r="P34" s="3"/>
      <c r="Q34" s="3"/>
      <c r="R34" s="3"/>
      <c r="S34" s="3"/>
      <c r="T34" s="3"/>
      <c r="U34" s="3"/>
      <c r="V34" s="3"/>
      <c r="W34" s="3"/>
      <c r="X34" s="3"/>
    </row>
    <row r="35" spans="1:24" x14ac:dyDescent="0.3">
      <c r="A35" s="3"/>
      <c r="B35" s="3"/>
      <c r="C35" s="3"/>
      <c r="D35" s="3"/>
      <c r="E35" s="3"/>
      <c r="F35" s="3"/>
      <c r="G35" s="3"/>
      <c r="H35" s="3"/>
      <c r="I35" s="3"/>
      <c r="J35" s="3"/>
      <c r="K35" s="3"/>
      <c r="L35" s="3"/>
      <c r="M35" s="3"/>
      <c r="N35" s="3"/>
      <c r="O35" s="3"/>
      <c r="P35" s="3"/>
      <c r="Q35" s="3"/>
      <c r="R35" s="3"/>
      <c r="S35" s="3"/>
      <c r="T35" s="3"/>
      <c r="U35" s="3"/>
      <c r="V35" s="3"/>
      <c r="W35" s="3"/>
      <c r="X35" s="3"/>
    </row>
    <row r="36" spans="1:24" x14ac:dyDescent="0.3">
      <c r="A36" s="3"/>
      <c r="B36" s="3"/>
      <c r="C36" s="3"/>
      <c r="D36" s="3"/>
      <c r="E36" s="3"/>
      <c r="F36" s="3"/>
      <c r="G36" s="3"/>
      <c r="H36" s="3"/>
      <c r="I36" s="3"/>
      <c r="J36" s="3"/>
      <c r="K36" s="3"/>
      <c r="L36" s="3"/>
      <c r="M36" s="3"/>
      <c r="N36" s="3"/>
      <c r="O36" s="3"/>
      <c r="P36" s="3"/>
      <c r="Q36" s="3"/>
      <c r="R36" s="3"/>
      <c r="S36" s="3"/>
      <c r="T36" s="3"/>
      <c r="U36" s="3"/>
      <c r="V36" s="3"/>
      <c r="W36" s="3"/>
      <c r="X36" s="3"/>
    </row>
    <row r="37" spans="1:24" x14ac:dyDescent="0.3">
      <c r="A37" s="3"/>
      <c r="B37" s="3"/>
      <c r="C37" s="3"/>
      <c r="D37" s="3"/>
      <c r="E37" s="3"/>
      <c r="F37" s="3"/>
      <c r="G37" s="3"/>
      <c r="H37" s="3"/>
      <c r="I37" s="3"/>
      <c r="J37" s="3"/>
      <c r="K37" s="3"/>
      <c r="L37" s="3"/>
      <c r="M37" s="3"/>
      <c r="N37" s="3"/>
      <c r="O37" s="3"/>
      <c r="P37" s="3"/>
      <c r="Q37" s="3"/>
      <c r="R37" s="3"/>
      <c r="S37" s="3"/>
      <c r="T37" s="3"/>
      <c r="U37" s="3"/>
      <c r="V37" s="3"/>
      <c r="W37" s="3"/>
      <c r="X37"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890FE-37B9-4EC0-8456-5933E8519A69}">
  <dimension ref="A1"/>
  <sheetViews>
    <sheetView zoomScale="145" zoomScaleNormal="145"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819FB-AFEB-4B73-B7A8-66793174CEE1}">
  <dimension ref="A1"/>
  <sheetViews>
    <sheetView zoomScaleNormal="10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C14D-69A6-4C6A-8C42-82E8ABC907D4}">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1F5EFA4-45DD-4241-BBDC-1EB135771BAE}">
  <ds:schemaRefs/>
</ds:datastoreItem>
</file>

<file path=customXml/itemProps2.xml><?xml version="1.0" encoding="utf-8"?>
<ds:datastoreItem xmlns:ds="http://schemas.openxmlformats.org/officeDocument/2006/customXml" ds:itemID="{579C75E9-AE82-4198-87DB-8C43D473321E}">
  <ds:schemaRefs/>
</ds:datastoreItem>
</file>

<file path=customXml/itemProps3.xml><?xml version="1.0" encoding="utf-8"?>
<ds:datastoreItem xmlns:ds="http://schemas.openxmlformats.org/officeDocument/2006/customXml" ds:itemID="{67F77D3D-1A54-4CBB-913A-2F438A1AD3E6}">
  <ds:schemaRefs/>
</ds:datastoreItem>
</file>

<file path=customXml/itemProps4.xml><?xml version="1.0" encoding="utf-8"?>
<ds:datastoreItem xmlns:ds="http://schemas.openxmlformats.org/officeDocument/2006/customXml" ds:itemID="{D23F3C67-64E7-47A7-ABFA-0EFAF971CF58}">
  <ds:schemaRefs/>
</ds:datastoreItem>
</file>

<file path=customXml/itemProps5.xml><?xml version="1.0" encoding="utf-8"?>
<ds:datastoreItem xmlns:ds="http://schemas.openxmlformats.org/officeDocument/2006/customXml" ds:itemID="{CCF3FC04-021D-47A3-8879-B946D1609B34}">
  <ds:schemaRefs/>
</ds:datastoreItem>
</file>

<file path=customXml/itemProps6.xml><?xml version="1.0" encoding="utf-8"?>
<ds:datastoreItem xmlns:ds="http://schemas.openxmlformats.org/officeDocument/2006/customXml" ds:itemID="{4777411F-862E-456D-9F57-4C9B5ABEA5BC}">
  <ds:schemaRefs/>
</ds:datastoreItem>
</file>

<file path=customXml/itemProps7.xml><?xml version="1.0" encoding="utf-8"?>
<ds:datastoreItem xmlns:ds="http://schemas.openxmlformats.org/officeDocument/2006/customXml" ds:itemID="{9988FE77-403F-4F72-9CD8-950534CB8B69}">
  <ds:schemaRefs>
    <ds:schemaRef ds:uri="http://schemas.microsoft.com/DataMashup"/>
  </ds:schemaRefs>
</ds:datastoreItem>
</file>

<file path=customXml/itemProps8.xml><?xml version="1.0" encoding="utf-8"?>
<ds:datastoreItem xmlns:ds="http://schemas.openxmlformats.org/officeDocument/2006/customXml" ds:itemID="{C352CA4B-8E17-41B5-8A18-7F4B32DE4128}">
  <ds:schemaRefs/>
</ds:datastoreItem>
</file>

<file path=customXml/itemProps9.xml><?xml version="1.0" encoding="utf-8"?>
<ds:datastoreItem xmlns:ds="http://schemas.openxmlformats.org/officeDocument/2006/customXml" ds:itemID="{009AAA76-395F-4A48-80A0-FC5749CD9497}">
  <ds:schemaRefs/>
</ds:datastoreItem>
</file>

<file path=customXml/itemProps10.xml><?xml version="1.0" encoding="utf-8"?>
<ds:datastoreItem xmlns:ds="http://schemas.openxmlformats.org/officeDocument/2006/customXml" ds:itemID="{585C7B90-9D35-4F93-9800-8AA3391DE0A8}">
  <ds:schemaRefs/>
</ds:datastoreItem>
</file>

<file path=customXml/itemProps11.xml><?xml version="1.0" encoding="utf-8"?>
<ds:datastoreItem xmlns:ds="http://schemas.openxmlformats.org/officeDocument/2006/customXml" ds:itemID="{A4689FD4-011D-4C7C-9294-73A824A5BADB}">
  <ds:schemaRefs/>
</ds:datastoreItem>
</file>

<file path=customXml/itemProps12.xml><?xml version="1.0" encoding="utf-8"?>
<ds:datastoreItem xmlns:ds="http://schemas.openxmlformats.org/officeDocument/2006/customXml" ds:itemID="{F5F1110B-3AED-4E20-82FD-4BF470A6F398}">
  <ds:schemaRefs/>
</ds:datastoreItem>
</file>

<file path=customXml/itemProps13.xml><?xml version="1.0" encoding="utf-8"?>
<ds:datastoreItem xmlns:ds="http://schemas.openxmlformats.org/officeDocument/2006/customXml" ds:itemID="{D1F643F3-6738-4620-914A-DC5F1F457920}">
  <ds:schemaRefs/>
</ds:datastoreItem>
</file>

<file path=customXml/itemProps14.xml><?xml version="1.0" encoding="utf-8"?>
<ds:datastoreItem xmlns:ds="http://schemas.openxmlformats.org/officeDocument/2006/customXml" ds:itemID="{620B7C96-2922-4F2B-B671-24E12633CFD0}">
  <ds:schemaRefs/>
</ds:datastoreItem>
</file>

<file path=customXml/itemProps15.xml><?xml version="1.0" encoding="utf-8"?>
<ds:datastoreItem xmlns:ds="http://schemas.openxmlformats.org/officeDocument/2006/customXml" ds:itemID="{24EA4FBA-5578-40E5-BD9B-F60D60806144}">
  <ds:schemaRefs/>
</ds:datastoreItem>
</file>

<file path=customXml/itemProps16.xml><?xml version="1.0" encoding="utf-8"?>
<ds:datastoreItem xmlns:ds="http://schemas.openxmlformats.org/officeDocument/2006/customXml" ds:itemID="{D564822E-8561-46F2-A9D2-A35EB1D4BE63}">
  <ds:schemaRefs/>
</ds:datastoreItem>
</file>

<file path=customXml/itemProps17.xml><?xml version="1.0" encoding="utf-8"?>
<ds:datastoreItem xmlns:ds="http://schemas.openxmlformats.org/officeDocument/2006/customXml" ds:itemID="{BB63CF5C-75C4-4824-901F-6E5E1386DC50}">
  <ds:schemaRefs/>
</ds:datastoreItem>
</file>

<file path=customXml/itemProps18.xml><?xml version="1.0" encoding="utf-8"?>
<ds:datastoreItem xmlns:ds="http://schemas.openxmlformats.org/officeDocument/2006/customXml" ds:itemID="{27743B7D-8A39-41B7-BCE3-A3B9A88297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Patients of ER</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Ahire</dc:creator>
  <cp:lastModifiedBy>Harshal Ahire</cp:lastModifiedBy>
  <dcterms:created xsi:type="dcterms:W3CDTF">2026-06-27T08:12:53Z</dcterms:created>
  <dcterms:modified xsi:type="dcterms:W3CDTF">2026-06-28T10:35:03Z</dcterms:modified>
</cp:coreProperties>
</file>